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7"/>
  <workbookPr hidePivotFieldList="1"/>
  <xr:revisionPtr revIDLastSave="0" documentId="8_{B0497BBD-B982-4131-8F97-F839CB234040}" xr6:coauthVersionLast="47" xr6:coauthVersionMax="47" xr10:uidLastSave="{00000000-0000-0000-0000-000000000000}"/>
  <bookViews>
    <workbookView xWindow="0" yWindow="0" windowWidth="0" windowHeight="0" firstSheet="1" xr2:uid="{00000000-000D-0000-FFFF-FFFF00000000}"/>
  </bookViews>
  <sheets>
    <sheet name="E-commerce_Performance_Analysis" sheetId="2" r:id="rId1"/>
    <sheet name="Cleaned_data_ready_to_visualize" sheetId="7" r:id="rId2"/>
    <sheet name="Sale_by_category" sheetId="5" r:id="rId3"/>
    <sheet name="Sales_by_Region " sheetId="4" r:id="rId4"/>
    <sheet name="Sales_trend_by_Months" sheetId="3" r:id="rId5"/>
    <sheet name="Top_5_customers" sheetId="6" r:id="rId6"/>
  </sheets>
  <calcPr calcId="191028"/>
  <pivotCaches>
    <pivotCache cacheId="306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2" l="1"/>
  <c r="G6" i="2"/>
  <c r="A6" i="2"/>
  <c r="E6" i="2"/>
</calcChain>
</file>

<file path=xl/sharedStrings.xml><?xml version="1.0" encoding="utf-8"?>
<sst xmlns="http://schemas.openxmlformats.org/spreadsheetml/2006/main" count="577" uniqueCount="160">
  <si>
    <t xml:space="preserve">Ecommerce Sales Performance Dashboard </t>
  </si>
  <si>
    <t>|  TOTAL SALES  |  TOTAL PROFIT  | TOTAL ORDERS  |  AVERAGE ORDER VALUE |</t>
  </si>
  <si>
    <t xml:space="preserve">Total Sales </t>
  </si>
  <si>
    <t>Total Profit</t>
  </si>
  <si>
    <t>Total Quantity Sold</t>
  </si>
  <si>
    <t>Average Order Value</t>
  </si>
  <si>
    <t xml:space="preserve">  </t>
  </si>
  <si>
    <t>|   HIGHEST SALES BY THE CATEGORY  |   HIGHEST SALES BY THE REGION   |   MONTHLY SALES  TRENDS   |</t>
  </si>
  <si>
    <t>|   TOTAL SALES CONTRIBUTION OF CATEGORY   |    TOP 5 HIGHEST PURCHASED CUSTOMERS   |</t>
  </si>
  <si>
    <t xml:space="preserve">INSIGHTS FROM THIS ANALYSIS </t>
  </si>
  <si>
    <t>Data as of: August 2026 | Total Orders (N): 88 | Source: Internal Sales Records</t>
  </si>
  <si>
    <t>order_id</t>
  </si>
  <si>
    <t>order_date</t>
  </si>
  <si>
    <t>customer_name</t>
  </si>
  <si>
    <t>region</t>
  </si>
  <si>
    <t>category</t>
  </si>
  <si>
    <t>product</t>
  </si>
  <si>
    <t>quantity</t>
  </si>
  <si>
    <t>sales</t>
  </si>
  <si>
    <t>profit</t>
  </si>
  <si>
    <t>month</t>
  </si>
  <si>
    <t>OD-1083</t>
  </si>
  <si>
    <t>Aditi Rao</t>
  </si>
  <si>
    <t>North</t>
  </si>
  <si>
    <t>Electronics</t>
  </si>
  <si>
    <t>Laptops</t>
  </si>
  <si>
    <t>May</t>
  </si>
  <si>
    <t>OD-1096</t>
  </si>
  <si>
    <t>Sunita Williams</t>
  </si>
  <si>
    <t>Wireless Headphones</t>
  </si>
  <si>
    <t>OD-1071</t>
  </si>
  <si>
    <t>Rahul Dravid</t>
  </si>
  <si>
    <t>South</t>
  </si>
  <si>
    <t>OD-1034</t>
  </si>
  <si>
    <t>Arjun Mehta</t>
  </si>
  <si>
    <t>OD-1043</t>
  </si>
  <si>
    <t>Furniture</t>
  </si>
  <si>
    <t>Dining Tables</t>
  </si>
  <si>
    <t>OD-1001</t>
  </si>
  <si>
    <t>OD-1056</t>
  </si>
  <si>
    <t>West</t>
  </si>
  <si>
    <t>Smartphones</t>
  </si>
  <si>
    <t>OD-1035</t>
  </si>
  <si>
    <t>Kiara Advani</t>
  </si>
  <si>
    <t>June</t>
  </si>
  <si>
    <t>OD-1048</t>
  </si>
  <si>
    <t>Pooja Hegde</t>
  </si>
  <si>
    <t>Recliners</t>
  </si>
  <si>
    <t>OD-1076</t>
  </si>
  <si>
    <t>Karan Johar</t>
  </si>
  <si>
    <t>OD-1017</t>
  </si>
  <si>
    <t>Rohan Das</t>
  </si>
  <si>
    <t>OD-1016</t>
  </si>
  <si>
    <t>Sanjay Dutt</t>
  </si>
  <si>
    <t>OD-1084</t>
  </si>
  <si>
    <t>Varun Dhawan</t>
  </si>
  <si>
    <t>East</t>
  </si>
  <si>
    <t>OD-1062</t>
  </si>
  <si>
    <t>Alia Bhatt</t>
  </si>
  <si>
    <t>OD-1065</t>
  </si>
  <si>
    <t>Bookshelves</t>
  </si>
  <si>
    <t>OD-1042</t>
  </si>
  <si>
    <t>OD-1005</t>
  </si>
  <si>
    <t>Study Tables</t>
  </si>
  <si>
    <t>OD-1038</t>
  </si>
  <si>
    <t>OD-1023</t>
  </si>
  <si>
    <t>OD-1050</t>
  </si>
  <si>
    <t>Amit Verma</t>
  </si>
  <si>
    <t>OD-1060</t>
  </si>
  <si>
    <t>OD-1009</t>
  </si>
  <si>
    <t>Ananya Reddy</t>
  </si>
  <si>
    <t>OD-1047</t>
  </si>
  <si>
    <t>OD-1006</t>
  </si>
  <si>
    <t>Meera Rajput</t>
  </si>
  <si>
    <t>OD-1054</t>
  </si>
  <si>
    <t>OD-1033</t>
  </si>
  <si>
    <t>Office Chairs</t>
  </si>
  <si>
    <t>OD-1020</t>
  </si>
  <si>
    <t>OD-1069</t>
  </si>
  <si>
    <t>OD-1036</t>
  </si>
  <si>
    <t>Smart Watches</t>
  </si>
  <si>
    <t>OD-1093</t>
  </si>
  <si>
    <t>OD-1024</t>
  </si>
  <si>
    <t>Siddharth Nair</t>
  </si>
  <si>
    <t>OD-1085</t>
  </si>
  <si>
    <t>OD-1064</t>
  </si>
  <si>
    <t>Priya Sharma</t>
  </si>
  <si>
    <t>OD-1061</t>
  </si>
  <si>
    <t>OD-1094</t>
  </si>
  <si>
    <t>OD-1051</t>
  </si>
  <si>
    <t>OD-1045</t>
  </si>
  <si>
    <t>OD-1015</t>
  </si>
  <si>
    <t>July</t>
  </si>
  <si>
    <t>OD-1012</t>
  </si>
  <si>
    <t>Deepika Padukone</t>
  </si>
  <si>
    <t>Bluetooth Speakers</t>
  </si>
  <si>
    <t>OD-1057</t>
  </si>
  <si>
    <t>OD-1040</t>
  </si>
  <si>
    <t>Ranbir Kapoor</t>
  </si>
  <si>
    <t>OD-1032</t>
  </si>
  <si>
    <t>OD-1011</t>
  </si>
  <si>
    <t>OD-1004</t>
  </si>
  <si>
    <t>OD-1080</t>
  </si>
  <si>
    <t>OD-1079</t>
  </si>
  <si>
    <t>OD-1018</t>
  </si>
  <si>
    <t>OD-1086</t>
  </si>
  <si>
    <t>Nagesh Shinde</t>
  </si>
  <si>
    <t>OD-1091</t>
  </si>
  <si>
    <t>OD-1066</t>
  </si>
  <si>
    <t>Sneha Patil</t>
  </si>
  <si>
    <t>OD-1022</t>
  </si>
  <si>
    <t>OD-1002</t>
  </si>
  <si>
    <t>OD-1082</t>
  </si>
  <si>
    <t>OD-1013</t>
  </si>
  <si>
    <t>Office Supplies</t>
  </si>
  <si>
    <t>Whiteboards</t>
  </si>
  <si>
    <t>OD-1074</t>
  </si>
  <si>
    <t>OD-1026</t>
  </si>
  <si>
    <t>OD-1090</t>
  </si>
  <si>
    <t>Vikram Malhotra</t>
  </si>
  <si>
    <t>OD-1092</t>
  </si>
  <si>
    <t>OD-1067</t>
  </si>
  <si>
    <t>OD-1058</t>
  </si>
  <si>
    <t>Bone Pallavi</t>
  </si>
  <si>
    <t>OD-1019</t>
  </si>
  <si>
    <t>OD-1053</t>
  </si>
  <si>
    <t>File Organizers</t>
  </si>
  <si>
    <t>OD-1052</t>
  </si>
  <si>
    <t>OD-1070</t>
  </si>
  <si>
    <t>OD-1089</t>
  </si>
  <si>
    <t>Desk Mats</t>
  </si>
  <si>
    <t>OD-1037</t>
  </si>
  <si>
    <t>Apurva Deshmukh</t>
  </si>
  <si>
    <t>A4 Paper Reams</t>
  </si>
  <si>
    <t>OD-1028</t>
  </si>
  <si>
    <t>OD-1081</t>
  </si>
  <si>
    <t>OD-1087</t>
  </si>
  <si>
    <t>August</t>
  </si>
  <si>
    <t>OD-1025</t>
  </si>
  <si>
    <t>OD-1077</t>
  </si>
  <si>
    <t>OD-1046</t>
  </si>
  <si>
    <t>OD-1021</t>
  </si>
  <si>
    <t>Gel Pens (Pack)</t>
  </si>
  <si>
    <t>OD-1008</t>
  </si>
  <si>
    <t>OD-1049</t>
  </si>
  <si>
    <t>OD-1063</t>
  </si>
  <si>
    <t>OD-1027</t>
  </si>
  <si>
    <t>OD-1031</t>
  </si>
  <si>
    <t>OD-1029</t>
  </si>
  <si>
    <t>OD-1078</t>
  </si>
  <si>
    <t>OD-1010</t>
  </si>
  <si>
    <t>OD-1044</t>
  </si>
  <si>
    <t>OD-1073</t>
  </si>
  <si>
    <t>OD-1014</t>
  </si>
  <si>
    <t>OD-1059</t>
  </si>
  <si>
    <t>OD-1055</t>
  </si>
  <si>
    <t>OD-1095</t>
  </si>
  <si>
    <t>OD-1068</t>
  </si>
  <si>
    <t>Sum of Sales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</si>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</sst>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$&quot;#,##0.00"/>
    <numFmt numFmtId="166" formatCode="yyyy\-mm\-dd"/>
    <numFmt numFmtId="167" formatCode="&quot;$&quot;#,##0.00&quot;M&quot;"/>
    <numFmt numFmtId="168" formatCode="&quot;$&quot;#,##0.0&quot;K&quot;"/>
  </numFmts>
  <fonts count="10">
    <font>
      <sz val="11"/>
      <color theme="1"/>
      <name val="Calibri"/>
      <family val="2"/>
      <scheme val="minor"/>
    </font>
    <font>
      <sz val="24"/>
      <color theme="1"/>
      <name val="Franklin Gothic"/>
    </font>
    <font>
      <b/>
      <sz val="14"/>
      <color theme="3" tint="-0.499984740745262"/>
      <name val="Franklin Gothic"/>
    </font>
    <font>
      <sz val="11"/>
      <color theme="1"/>
      <name val="Arial"/>
    </font>
    <font>
      <b/>
      <sz val="12"/>
      <color theme="1"/>
      <name val="Franklin Gothic"/>
    </font>
    <font>
      <b/>
      <sz val="11"/>
      <color theme="1"/>
      <name val="Calibri"/>
      <family val="2"/>
      <scheme val="minor"/>
    </font>
    <font>
      <sz val="20"/>
      <color theme="3" tint="-0.499984740745262"/>
      <name val="Franklin Gothic"/>
    </font>
    <font>
      <sz val="18"/>
      <color theme="3" tint="-0.499984740745262"/>
      <name val="Franklin Gothic"/>
    </font>
    <font>
      <sz val="11"/>
      <color theme="5" tint="0.79998168889431442"/>
      <name val="Franklin Gothic"/>
    </font>
    <font>
      <b/>
      <sz val="10"/>
      <color rgb="FF000000"/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164" fontId="0" fillId="0" borderId="0" xfId="0" applyNumberFormat="1"/>
    <xf numFmtId="0" fontId="0" fillId="0" borderId="0" xfId="0" pivotButton="1"/>
    <xf numFmtId="0" fontId="2" fillId="2" borderId="1" xfId="0" applyFont="1" applyFill="1" applyBorder="1" applyAlignment="1">
      <alignment horizontal="center" wrapText="1"/>
    </xf>
    <xf numFmtId="0" fontId="3" fillId="0" borderId="0" xfId="0" applyFont="1"/>
    <xf numFmtId="0" fontId="5" fillId="0" borderId="0" xfId="0" applyFont="1" applyAlignment="1">
      <alignment horizontal="center" wrapText="1"/>
    </xf>
    <xf numFmtId="0" fontId="5" fillId="0" borderId="0" xfId="0" applyFont="1" applyAlignment="1">
      <alignment horizontal="center"/>
    </xf>
    <xf numFmtId="166" fontId="5" fillId="0" borderId="0" xfId="0" applyNumberFormat="1" applyFont="1" applyAlignment="1">
      <alignment horizontal="center"/>
    </xf>
    <xf numFmtId="166" fontId="0" fillId="0" borderId="0" xfId="0" applyNumberFormat="1" applyAlignment="1">
      <alignment horizontal="center"/>
    </xf>
    <xf numFmtId="0" fontId="0" fillId="0" borderId="0" xfId="0" applyNumberFormat="1"/>
    <xf numFmtId="167" fontId="6" fillId="2" borderId="2" xfId="0" applyNumberFormat="1" applyFont="1" applyFill="1" applyBorder="1" applyAlignment="1">
      <alignment horizontal="center" wrapText="1"/>
    </xf>
    <xf numFmtId="168" fontId="7" fillId="2" borderId="2" xfId="0" applyNumberFormat="1" applyFont="1" applyFill="1" applyBorder="1" applyAlignment="1">
      <alignment horizontal="center" wrapText="1"/>
    </xf>
    <xf numFmtId="1" fontId="7" fillId="2" borderId="2" xfId="0" applyNumberFormat="1" applyFont="1" applyFill="1" applyBorder="1" applyAlignment="1">
      <alignment horizontal="center" wrapText="1"/>
    </xf>
    <xf numFmtId="0" fontId="0" fillId="0" borderId="0" xfId="0" applyAlignment="1"/>
    <xf numFmtId="0" fontId="8" fillId="5" borderId="0" xfId="0" applyFont="1" applyFill="1" applyBorder="1" applyAlignment="1"/>
    <xf numFmtId="0" fontId="0" fillId="5" borderId="0" xfId="0" applyFill="1" applyBorder="1"/>
    <xf numFmtId="0" fontId="8" fillId="5" borderId="0" xfId="0" applyFont="1" applyFill="1" applyBorder="1" applyAlignment="1">
      <alignment horizontal="center"/>
    </xf>
    <xf numFmtId="0" fontId="1" fillId="5" borderId="0" xfId="0" applyFont="1" applyFill="1" applyBorder="1" applyAlignment="1">
      <alignment horizontal="center"/>
    </xf>
    <xf numFmtId="0" fontId="9" fillId="0" borderId="0" xfId="0" applyFont="1" applyAlignment="1">
      <alignment horizontal="center"/>
    </xf>
    <xf numFmtId="0" fontId="4" fillId="4" borderId="3" xfId="0" applyFont="1" applyFill="1" applyBorder="1" applyAlignment="1">
      <alignment horizontal="center"/>
    </xf>
    <xf numFmtId="0" fontId="4" fillId="4" borderId="4" xfId="0" applyFont="1" applyFill="1" applyBorder="1" applyAlignment="1">
      <alignment horizontal="center"/>
    </xf>
    <xf numFmtId="0" fontId="4" fillId="4" borderId="5" xfId="0" applyFont="1" applyFill="1" applyBorder="1" applyAlignment="1">
      <alignment horizontal="center"/>
    </xf>
    <xf numFmtId="0" fontId="4" fillId="4" borderId="3" xfId="0" applyFont="1" applyFill="1" applyBorder="1" applyAlignment="1">
      <alignment horizontal="center" wrapText="1"/>
    </xf>
    <xf numFmtId="0" fontId="4" fillId="4" borderId="4" xfId="0" applyFont="1" applyFill="1" applyBorder="1" applyAlignment="1">
      <alignment horizontal="center" wrapText="1"/>
    </xf>
    <xf numFmtId="0" fontId="4" fillId="4" borderId="5" xfId="0" applyFont="1" applyFill="1" applyBorder="1" applyAlignment="1">
      <alignment horizontal="center" wrapText="1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[Mini_Project_02_Ecom_Performance_Dashboard.xlsx]Sales_trend_by_Months!PivotTable4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rgbClr val="002060"/>
                </a:solidFill>
                <a:latin typeface="Verdana"/>
                <a:ea typeface="Verdana"/>
                <a:cs typeface="Verdana"/>
              </a:defRPr>
            </a:pPr>
            <a:r>
              <a:rPr lang="en-US"/>
              <a:t>Sales By Month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rgbClr val="002060"/>
              </a:solidFill>
              <a:latin typeface="Verdana"/>
              <a:ea typeface="Verdana"/>
              <a:cs typeface="Verdana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76200" cap="rnd">
            <a:solidFill>
              <a:srgbClr val="1F497D"/>
            </a:solidFill>
            <a:prstDash val="solid"/>
            <a:round/>
          </a:ln>
          <a:effectLst/>
        </c:spPr>
        <c:marker>
          <c:symbol val="circle"/>
          <c:size val="11"/>
          <c:spPr>
            <a:solidFill>
              <a:srgbClr val="974706"/>
            </a:solidFill>
            <a:ln w="9525">
              <a:solidFill>
                <a:srgbClr val="000000"/>
              </a:solidFill>
              <a:prstDash val="solid"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76200" cap="rnd">
            <a:solidFill>
              <a:srgbClr val="1F497D"/>
            </a:solidFill>
            <a:prstDash val="solid"/>
            <a:round/>
          </a:ln>
          <a:effectLst/>
        </c:spPr>
        <c:marker>
          <c:symbol val="circle"/>
          <c:size val="11"/>
          <c:spPr>
            <a:solidFill>
              <a:srgbClr val="974706"/>
            </a:solidFill>
            <a:ln w="9525">
              <a:solidFill>
                <a:srgbClr val="000000"/>
              </a:solidFill>
              <a:prstDash val="solid"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76200" cap="rnd">
            <a:solidFill>
              <a:srgbClr val="1F497D"/>
            </a:solidFill>
            <a:prstDash val="solid"/>
            <a:round/>
          </a:ln>
          <a:effectLst/>
        </c:spPr>
        <c:marker>
          <c:symbol val="circle"/>
          <c:size val="11"/>
          <c:spPr>
            <a:solidFill>
              <a:srgbClr val="974706"/>
            </a:solidFill>
            <a:ln w="9525">
              <a:solidFill>
                <a:srgbClr val="000000"/>
              </a:solidFill>
              <a:prstDash val="solid"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76200" cap="rnd">
            <a:solidFill>
              <a:srgbClr val="1F497D"/>
            </a:solidFill>
            <a:prstDash val="solid"/>
            <a:round/>
          </a:ln>
          <a:effectLst/>
        </c:spPr>
        <c:marker>
          <c:symbol val="circle"/>
          <c:size val="11"/>
          <c:spPr>
            <a:solidFill>
              <a:srgbClr val="974706"/>
            </a:solidFill>
            <a:ln w="9525">
              <a:solidFill>
                <a:srgbClr val="000000"/>
              </a:solidFill>
              <a:prstDash val="solid"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76200" cap="rnd">
            <a:solidFill>
              <a:srgbClr val="002060"/>
            </a:solidFill>
            <a:prstDash val="solid"/>
            <a:round/>
          </a:ln>
          <a:effectLst/>
        </c:spPr>
        <c:marker>
          <c:symbol val="circle"/>
          <c:size val="6"/>
          <c:spPr>
            <a:solidFill>
              <a:srgbClr val="00B050"/>
            </a:solidFill>
            <a:ln w="9525">
              <a:solidFill>
                <a:srgbClr val="FFFFFF"/>
              </a:solidFill>
              <a:prstDash val="solid"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Sales_trend_by_Months!$B$3</c:f>
              <c:strCache>
                <c:ptCount val="1"/>
                <c:pt idx="0">
                  <c:v>Total</c:v>
                </c:pt>
              </c:strCache>
            </c:strRef>
          </c:tx>
          <c:spPr>
            <a:ln w="76200" cap="rnd">
              <a:solidFill>
                <a:srgbClr val="002060"/>
              </a:solidFill>
              <a:prstDash val="solid"/>
              <a:round/>
            </a:ln>
            <a:effectLst/>
          </c:spPr>
          <c:marker>
            <c:symbol val="circle"/>
            <c:size val="6"/>
            <c:spPr>
              <a:solidFill>
                <a:srgbClr val="00B050"/>
              </a:solidFill>
              <a:ln w="9525">
                <a:solidFill>
                  <a:srgbClr val="FFFFFF"/>
                </a:solidFill>
                <a:prstDash val="solid"/>
              </a:ln>
              <a:effectLst/>
            </c:spPr>
          </c:marker>
          <c:cat>
            <c:strRef>
              <c:f>Sales_trend_by_Months!$A$4:$A$8</c:f>
              <c:strCache>
                <c:ptCount val="4"/>
                <c:pt idx="0">
                  <c:v>June</c:v>
                </c:pt>
                <c:pt idx="1">
                  <c:v>May</c:v>
                </c:pt>
                <c:pt idx="2">
                  <c:v>July</c:v>
                </c:pt>
                <c:pt idx="3">
                  <c:v>August</c:v>
                </c:pt>
              </c:strCache>
            </c:strRef>
          </c:cat>
          <c:val>
            <c:numRef>
              <c:f>Sales_trend_by_Months!$B$4:$B$8</c:f>
              <c:numCache>
                <c:formatCode>"$"#,##0.00</c:formatCode>
                <c:ptCount val="4"/>
                <c:pt idx="0">
                  <c:v>1760000</c:v>
                </c:pt>
                <c:pt idx="1">
                  <c:v>1205000</c:v>
                </c:pt>
                <c:pt idx="2">
                  <c:v>468850</c:v>
                </c:pt>
                <c:pt idx="3">
                  <c:v>28250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DD7-4C2F-9D8C-C757E30663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83266567"/>
        <c:axId val="1611892743"/>
      </c:lineChart>
      <c:catAx>
        <c:axId val="14832665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rgbClr val="632523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1892743"/>
        <c:crosses val="autoZero"/>
        <c:auto val="1"/>
        <c:lblAlgn val="ctr"/>
        <c:lblOffset val="100"/>
        <c:noMultiLvlLbl val="0"/>
      </c:catAx>
      <c:valAx>
        <c:axId val="1611892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000000"/>
              </a:solidFill>
              <a:prstDash val="solid"/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rgbClr val="40315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32665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rgbClr val="FFFFFF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[Mini_Project_02_Ecom_Performance_Dashboard.xlsx]Sales_by_Region !PivotTable5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rgbClr val="16365C"/>
                </a:solidFill>
                <a:latin typeface="Verdana"/>
                <a:ea typeface="Verdana"/>
                <a:cs typeface="Verdana"/>
              </a:defRPr>
            </a:pPr>
            <a:r>
              <a:rPr lang="en-US"/>
              <a:t>Sales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rgbClr val="16365C"/>
              </a:solidFill>
              <a:latin typeface="Verdana"/>
              <a:ea typeface="Verdana"/>
              <a:cs typeface="Verdana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rgbClr val="1F497D"/>
          </a:solidFill>
          <a:ln>
            <a:solidFill>
              <a:srgbClr val="FFFFFF"/>
            </a:solidFill>
            <a:prstDash val="solid"/>
          </a:ln>
          <a:effectLst/>
        </c:spPr>
        <c:marker>
          <c:symbol val="none"/>
        </c:marker>
      </c:pivotFmt>
      <c:pivotFmt>
        <c:idx val="19"/>
        <c:spPr>
          <a:solidFill>
            <a:srgbClr val="C00000"/>
          </a:solidFill>
          <a:ln>
            <a:solidFill>
              <a:srgbClr val="FFFFFF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rgbClr val="4F6228"/>
          </a:solidFill>
          <a:ln>
            <a:solidFill>
              <a:srgbClr val="FFFFFF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rgbClr val="60497A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'Sales_by_Region 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'Sales_by_Region '!$A$4:$A$8</c:f>
              <c:strCache>
                <c:ptCount val="4"/>
                <c:pt idx="0">
                  <c:v>North</c:v>
                </c:pt>
                <c:pt idx="1">
                  <c:v>South</c:v>
                </c:pt>
                <c:pt idx="2">
                  <c:v>West</c:v>
                </c:pt>
                <c:pt idx="3">
                  <c:v>East</c:v>
                </c:pt>
              </c:strCache>
            </c:strRef>
          </c:cat>
          <c:val>
            <c:numRef>
              <c:f>'Sales_by_Region '!$B$4:$B$8</c:f>
              <c:numCache>
                <c:formatCode>"$"#,##0.00</c:formatCode>
                <c:ptCount val="4"/>
                <c:pt idx="0">
                  <c:v>1424200</c:v>
                </c:pt>
                <c:pt idx="1">
                  <c:v>1010100</c:v>
                </c:pt>
                <c:pt idx="2">
                  <c:v>733300</c:v>
                </c:pt>
                <c:pt idx="3">
                  <c:v>294500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CF-4B76-BB68-DCBCB0F6B3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1"/>
        <c:overlap val="-27"/>
        <c:axId val="1823114247"/>
        <c:axId val="1823116295"/>
      </c:barChart>
      <c:catAx>
        <c:axId val="18231142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solidFill>
            <a:srgbClr val="FFFFFF"/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3116295"/>
        <c:crosses val="autoZero"/>
        <c:auto val="1"/>
        <c:lblAlgn val="ctr"/>
        <c:lblOffset val="100"/>
        <c:noMultiLvlLbl val="0"/>
      </c:catAx>
      <c:valAx>
        <c:axId val="1823116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808080"/>
              </a:solidFill>
              <a:prstDash val="solid"/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rgbClr val="632523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31142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[Mini_Project_02_Ecom_Performance_Dashboard.xlsx]Sale_by_category!PivotTable6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rgbClr val="16365C"/>
                </a:solidFill>
                <a:latin typeface="Verdana"/>
                <a:ea typeface="Verdana"/>
                <a:cs typeface="Verdana"/>
              </a:defRPr>
            </a:pPr>
            <a:r>
              <a:rPr lang="en-US"/>
              <a:t>Total Sales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rgbClr val="16365C"/>
              </a:solidFill>
              <a:latin typeface="Verdana"/>
              <a:ea typeface="Verdana"/>
              <a:cs typeface="Verdana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 w="25400"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rgbClr val="FFC000"/>
                  </a:solidFill>
                  <a:latin typeface="Comic Sans MS"/>
                  <a:ea typeface="Comic Sans MS"/>
                  <a:cs typeface="Comic Sans M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Sale_by_category!$B$3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C61-4504-9CA9-284BADBD19B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C61-4504-9CA9-284BADBD19B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C61-4504-9CA9-284BADBD19B7}"/>
              </c:ext>
            </c:extLst>
          </c:dPt>
          <c:dLbls>
            <c:spPr>
              <a:noFill/>
              <a:ln w="25400"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rgbClr val="FFC000"/>
                    </a:solidFill>
                    <a:latin typeface="Comic Sans MS"/>
                    <a:ea typeface="Comic Sans MS"/>
                    <a:cs typeface="Comic Sans M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Sale_by_category!$A$4:$A$7</c:f>
              <c:strCache>
                <c:ptCount val="3"/>
                <c:pt idx="0">
                  <c:v>Electronics</c:v>
                </c:pt>
                <c:pt idx="1">
                  <c:v>Furniture</c:v>
                </c:pt>
                <c:pt idx="2">
                  <c:v>Office Supplies</c:v>
                </c:pt>
              </c:strCache>
            </c:strRef>
          </c:cat>
          <c:val>
            <c:numRef>
              <c:f>Sale_by_category!$B$4:$B$7</c:f>
              <c:numCache>
                <c:formatCode>"$"#,##0.00</c:formatCode>
                <c:ptCount val="3"/>
                <c:pt idx="0">
                  <c:v>1905000</c:v>
                </c:pt>
                <c:pt idx="1">
                  <c:v>1420500</c:v>
                </c:pt>
                <c:pt idx="2">
                  <c:v>136600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C61-4504-9CA9-284BADBD19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000000"/>
              </a:solidFill>
              <a:latin typeface="Arial Black"/>
              <a:ea typeface="Arial Black"/>
              <a:cs typeface="Arial Black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[Mini_Project_02_Ecom_Performance_Dashboard.xlsx]Top_5_customers!PivotTable7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rgbClr val="244062"/>
                </a:solidFill>
                <a:latin typeface="Verdana"/>
                <a:ea typeface="Verdana"/>
                <a:cs typeface="Verdana"/>
              </a:defRPr>
            </a:pPr>
            <a:r>
              <a:rPr lang="en-US"/>
              <a:t>Top 5 Customers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rgbClr val="244062"/>
              </a:solidFill>
              <a:latin typeface="Verdana"/>
              <a:ea typeface="Verdana"/>
              <a:cs typeface="Verdana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31869B"/>
          </a:solidFill>
          <a:ln>
            <a:solidFill>
              <a:srgbClr val="000000"/>
            </a:solidFill>
            <a:prstDash val="solid"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31869B"/>
          </a:solidFill>
          <a:ln>
            <a:solidFill>
              <a:srgbClr val="000000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31869B"/>
          </a:solidFill>
          <a:ln>
            <a:solidFill>
              <a:srgbClr val="000000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31869B"/>
          </a:solidFill>
          <a:ln>
            <a:solidFill>
              <a:srgbClr val="000000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31869B"/>
          </a:solidFill>
          <a:ln>
            <a:solidFill>
              <a:srgbClr val="000000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Top_5_customers!$B$3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31869B"/>
            </a:solidFill>
            <a:ln>
              <a:solidFill>
                <a:srgbClr val="000000"/>
              </a:solidFill>
              <a:prstDash val="solid"/>
            </a:ln>
            <a:effectLst/>
          </c:spPr>
          <c:invertIfNegative val="0"/>
          <c:cat>
            <c:strRef>
              <c:f>Top_5_customers!$A$4:$A$9</c:f>
              <c:strCache>
                <c:ptCount val="5"/>
                <c:pt idx="0">
                  <c:v>Aditi Rao</c:v>
                </c:pt>
                <c:pt idx="1">
                  <c:v>Rahul Dravid</c:v>
                </c:pt>
                <c:pt idx="2">
                  <c:v>Sunita Williams</c:v>
                </c:pt>
                <c:pt idx="3">
                  <c:v>Pooja Hegde</c:v>
                </c:pt>
                <c:pt idx="4">
                  <c:v>Karan Johar</c:v>
                </c:pt>
              </c:strCache>
            </c:strRef>
          </c:cat>
          <c:val>
            <c:numRef>
              <c:f>Top_5_customers!$B$4:$B$9</c:f>
              <c:numCache>
                <c:formatCode>"$"#,##0.00</c:formatCode>
                <c:ptCount val="5"/>
                <c:pt idx="0">
                  <c:v>512400</c:v>
                </c:pt>
                <c:pt idx="1">
                  <c:v>399100</c:v>
                </c:pt>
                <c:pt idx="2">
                  <c:v>350000</c:v>
                </c:pt>
                <c:pt idx="3">
                  <c:v>326750</c:v>
                </c:pt>
                <c:pt idx="4">
                  <c:v>266900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46-4C23-B785-130F4B697F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8"/>
        <c:overlap val="100"/>
        <c:axId val="1613903879"/>
        <c:axId val="1613906439"/>
      </c:barChart>
      <c:catAx>
        <c:axId val="1613903879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3906439"/>
        <c:crosses val="autoZero"/>
        <c:auto val="1"/>
        <c:lblAlgn val="ctr"/>
        <c:lblOffset val="100"/>
        <c:noMultiLvlLbl val="0"/>
      </c:catAx>
      <c:valAx>
        <c:axId val="1613906439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3903879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771525</xdr:colOff>
      <xdr:row>10</xdr:row>
      <xdr:rowOff>104775</xdr:rowOff>
    </xdr:from>
    <xdr:to>
      <xdr:col>9</xdr:col>
      <xdr:colOff>323850</xdr:colOff>
      <xdr:row>21</xdr:row>
      <xdr:rowOff>104775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4AB1B07-737B-4B54-9336-1D5591A17966}"/>
            </a:ext>
            <a:ext uri="{147F2762-F138-4A5C-976F-8EAC2B608ADB}">
              <a16:predDERef xmlns:a16="http://schemas.microsoft.com/office/drawing/2014/main" pred="{49CC16FB-B3BD-439C-8346-269ADBE766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10</xdr:row>
      <xdr:rowOff>142875</xdr:rowOff>
    </xdr:from>
    <xdr:to>
      <xdr:col>4</xdr:col>
      <xdr:colOff>400050</xdr:colOff>
      <xdr:row>21</xdr:row>
      <xdr:rowOff>123825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55D29A0-E733-4C34-914E-7B938DC12F75}"/>
            </a:ext>
            <a:ext uri="{147F2762-F138-4A5C-976F-8EAC2B608ADB}">
              <a16:predDERef xmlns:a16="http://schemas.microsoft.com/office/drawing/2014/main" pred="{B4AB1B07-737B-4B54-9336-1D5591A179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26</xdr:row>
      <xdr:rowOff>171450</xdr:rowOff>
    </xdr:from>
    <xdr:to>
      <xdr:col>4</xdr:col>
      <xdr:colOff>114300</xdr:colOff>
      <xdr:row>38</xdr:row>
      <xdr:rowOff>114300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C2B9875-8C84-4FD1-896B-DB6B995F24B2}"/>
            </a:ext>
            <a:ext uri="{147F2762-F138-4A5C-976F-8EAC2B608ADB}">
              <a16:predDERef xmlns:a16="http://schemas.microsoft.com/office/drawing/2014/main" pred="{955D29A0-E733-4C34-914E-7B938DC12F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371475</xdr:colOff>
      <xdr:row>26</xdr:row>
      <xdr:rowOff>152400</xdr:rowOff>
    </xdr:from>
    <xdr:to>
      <xdr:col>11</xdr:col>
      <xdr:colOff>95250</xdr:colOff>
      <xdr:row>38</xdr:row>
      <xdr:rowOff>133350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E0A73F9-5BDD-400E-B534-829696F261E4}"/>
            </a:ext>
            <a:ext uri="{147F2762-F138-4A5C-976F-8EAC2B608ADB}">
              <a16:predDERef xmlns:a16="http://schemas.microsoft.com/office/drawing/2014/main" pred="{FC2B9875-8C84-4FD1-896B-DB6B995F24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95250</xdr:colOff>
      <xdr:row>42</xdr:row>
      <xdr:rowOff>180975</xdr:rowOff>
    </xdr:from>
    <xdr:to>
      <xdr:col>10</xdr:col>
      <xdr:colOff>219075</xdr:colOff>
      <xdr:row>57</xdr:row>
      <xdr:rowOff>180975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2C62013B-0639-0CC8-B48B-8BBA5168E152}"/>
            </a:ext>
            <a:ext uri="{147F2762-F138-4A5C-976F-8EAC2B608ADB}">
              <a16:predDERef xmlns:a16="http://schemas.microsoft.com/office/drawing/2014/main" pred="{1E0A73F9-5BDD-400E-B534-829696F261E4}"/>
            </a:ext>
          </a:extLst>
        </xdr:cNvPr>
        <xdr:cNvSpPr/>
      </xdr:nvSpPr>
      <xdr:spPr>
        <a:xfrm>
          <a:off x="95250" y="8743950"/>
          <a:ext cx="10267950" cy="2857500"/>
        </a:xfrm>
        <a:prstGeom prst="rect">
          <a:avLst/>
        </a:prstGeom>
        <a:solidFill>
          <a:schemeClr val="accent5">
            <a:lumMod val="40000"/>
            <a:lumOff val="60000"/>
          </a:schemeClr>
        </a:solidFill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endParaRPr lang="en-US" sz="1200" b="0" i="0">
            <a:solidFill>
              <a:schemeClr val="tx1"/>
            </a:solidFill>
            <a:latin typeface="Franklin Gothic"/>
          </a:endParaRPr>
        </a:p>
        <a:p>
          <a:pPr marL="0" indent="0" algn="l"/>
          <a:r>
            <a:rPr lang="en-US" sz="1200" b="0" i="0">
              <a:solidFill>
                <a:schemeClr val="tx1"/>
              </a:solidFill>
              <a:latin typeface="Franklin Gothic"/>
            </a:rPr>
            <a:t>1.There is Highest Sales in the North ($13.7L) while East has lowest sales($2.9L).It means East has weaker marketing or logistics. Business should compare delivery time and ad spend ,not assuming that the East has lower market.</a:t>
          </a:r>
        </a:p>
        <a:p>
          <a:pPr marL="0" indent="0" algn="l"/>
          <a:endParaRPr lang="en-US" sz="1200" b="0" i="0">
            <a:solidFill>
              <a:schemeClr val="tx1"/>
            </a:solidFill>
            <a:latin typeface="Franklin Gothic"/>
          </a:endParaRPr>
        </a:p>
        <a:p>
          <a:pPr marL="0" indent="0" algn="l"/>
          <a:r>
            <a:rPr lang="en-US" sz="1200" b="0" i="0">
              <a:solidFill>
                <a:schemeClr val="tx1"/>
              </a:solidFill>
              <a:latin typeface="Franklin Gothic"/>
            </a:rPr>
            <a:t>2.Electronics have highest sales contribution (approx 55%) , while office supplies very lowest sales (2%). It means the Business is dependent on the Electronics and the Office supplies is undermarketed. Business should investigate why Office Supplies is in underperforming. Business should compare delivery time , product quality , customers feedback and spend more on ad or marketing , discounts/offers etc </a:t>
          </a:r>
        </a:p>
        <a:p>
          <a:pPr marL="0" indent="0" algn="l"/>
          <a:endParaRPr lang="en-US" sz="1200" b="0" i="0">
            <a:solidFill>
              <a:schemeClr val="tx1"/>
            </a:solidFill>
            <a:latin typeface="Franklin Gothic"/>
          </a:endParaRPr>
        </a:p>
        <a:p>
          <a:pPr marL="0" indent="0" algn="l"/>
          <a:r>
            <a:rPr lang="en-US" sz="1200" b="0" i="0">
              <a:solidFill>
                <a:schemeClr val="tx1"/>
              </a:solidFill>
              <a:latin typeface="Franklin Gothic"/>
            </a:rPr>
            <a:t>3.There was a highest sales in JUNE approx. $17.6L. Then slowly decreased between JULY and AUGUST. Business should not consider as genuine demand or growth .It was not sustainable.Business should investigate the same marketing or adverstising , logistics , discounts , costs and inventory had in July. Should compare customer CHURN rate , feedbacks and products quality from June.</a:t>
          </a:r>
        </a:p>
        <a:p>
          <a:pPr marL="0" indent="0" algn="l"/>
          <a:endParaRPr lang="en-US" sz="1200" b="0" i="0">
            <a:solidFill>
              <a:schemeClr val="tx1"/>
            </a:solidFill>
            <a:latin typeface="Franklin Gothic"/>
          </a:endParaRPr>
        </a:p>
        <a:p>
          <a:pPr marL="0" indent="0" algn="l"/>
          <a:r>
            <a:rPr lang="en-US" sz="1200" b="0" i="0">
              <a:solidFill>
                <a:schemeClr val="tx1"/>
              </a:solidFill>
              <a:latin typeface="Franklin Gothic"/>
            </a:rPr>
            <a:t>4.I identified the top 5 highest sales / purchased customers .They generated highest revenues. The problem is if they CHURN , the contribution will go down.So the Business can provide better discounts , effiecient delivery and more. Business should manage relationships and reduce CHURN rate.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30.393976967593" createdVersion="8" refreshedVersion="8" minRefreshableVersion="3" recordCount="88" xr:uid="{DAF13406-799C-45A0-A993-BEDC1920BC16}">
  <cacheSource type="worksheet">
    <worksheetSource ref="A1:J89" sheet="Cleaned_data_ready_to_visualize"/>
  </cacheSource>
  <cacheFields count="10">
    <cacheField name="order_id" numFmtId="0">
      <sharedItems/>
    </cacheField>
    <cacheField name="order_date" numFmtId="166">
      <sharedItems containsSemiMixedTypes="0" containsNonDate="0" containsDate="1" containsString="0" minDate="2026-05-25T00:00:00" maxDate="2026-08-21T00:00:00"/>
    </cacheField>
    <cacheField name="customer_name" numFmtId="0">
      <sharedItems count="23">
        <s v="Aditi Rao"/>
        <s v="Sunita Williams"/>
        <s v="Rahul Dravid"/>
        <s v="Arjun Mehta"/>
        <s v="Kiara Advani"/>
        <s v="Pooja Hegde"/>
        <s v="Karan Johar"/>
        <s v="Rohan Das"/>
        <s v="Sanjay Dutt"/>
        <s v="Varun Dhawan"/>
        <s v="Alia Bhatt"/>
        <s v="Amit Verma"/>
        <s v="Ananya Reddy"/>
        <s v="Meera Rajput"/>
        <s v="Siddharth Nair"/>
        <s v="Priya Sharma"/>
        <s v="Deepika Padukone"/>
        <s v="Ranbir Kapoor"/>
        <s v="Nagesh Shinde"/>
        <s v="Sneha Patil"/>
        <s v="Vikram Malhotra"/>
        <s v="Bone Pallavi"/>
        <s v="Apurva Deshmukh"/>
      </sharedItems>
    </cacheField>
    <cacheField name="region" numFmtId="0">
      <sharedItems count="4">
        <s v="North"/>
        <s v="South"/>
        <s v="West"/>
        <s v="East"/>
      </sharedItems>
    </cacheField>
    <cacheField name="category" numFmtId="0">
      <sharedItems count="3">
        <s v="Electronics"/>
        <s v="Furniture"/>
        <s v="Office Supplies"/>
      </sharedItems>
    </cacheField>
    <cacheField name="product" numFmtId="0">
      <sharedItems/>
    </cacheField>
    <cacheField name="quantity" numFmtId="0">
      <sharedItems containsSemiMixedTypes="0" containsString="0" containsNumber="1" containsInteger="1" minValue="1" maxValue="12"/>
    </cacheField>
    <cacheField name="sales" numFmtId="0">
      <sharedItems containsSemiMixedTypes="0" containsString="0" containsNumber="1" containsInteger="1" minValue="750" maxValue="275000"/>
    </cacheField>
    <cacheField name="profit" numFmtId="0">
      <sharedItems containsSemiMixedTypes="0" containsString="0" containsNumber="1" minValue="82.76" maxValue="35967.919999999998"/>
    </cacheField>
    <cacheField name="month" numFmtId="0">
      <sharedItems count="4">
        <s v="May"/>
        <s v="June"/>
        <s v="July"/>
        <s v="Augus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8">
  <r>
    <s v="OD-1083"/>
    <d v="2026-05-25T00:00:00"/>
    <x v="0"/>
    <x v="0"/>
    <x v="0"/>
    <s v="Laptops"/>
    <n v="5"/>
    <n v="275000"/>
    <n v="3000"/>
    <x v="0"/>
  </r>
  <r>
    <s v="OD-1096"/>
    <d v="2026-05-26T00:00:00"/>
    <x v="1"/>
    <x v="0"/>
    <x v="0"/>
    <s v="Wireless Headphones"/>
    <n v="5"/>
    <n v="175000"/>
    <n v="35967.919999999998"/>
    <x v="0"/>
  </r>
  <r>
    <s v="OD-1071"/>
    <d v="2026-05-27T00:00:00"/>
    <x v="2"/>
    <x v="1"/>
    <x v="0"/>
    <s v="Wireless Headphones"/>
    <n v="4"/>
    <n v="140000"/>
    <n v="25966.84"/>
    <x v="0"/>
  </r>
  <r>
    <s v="OD-1034"/>
    <d v="2026-05-28T00:00:00"/>
    <x v="3"/>
    <x v="1"/>
    <x v="0"/>
    <s v="Wireless Headphones"/>
    <n v="6"/>
    <n v="140000"/>
    <n v="25585.29"/>
    <x v="0"/>
  </r>
  <r>
    <s v="OD-1043"/>
    <d v="2026-05-29T00:00:00"/>
    <x v="1"/>
    <x v="1"/>
    <x v="1"/>
    <s v="Dining Tables"/>
    <n v="5"/>
    <n v="175000"/>
    <n v="22489.57"/>
    <x v="0"/>
  </r>
  <r>
    <s v="OD-1001"/>
    <d v="2026-05-30T00:00:00"/>
    <x v="0"/>
    <x v="0"/>
    <x v="0"/>
    <s v="Laptops"/>
    <n v="3"/>
    <n v="200000"/>
    <n v="20525.689999999999"/>
    <x v="0"/>
  </r>
  <r>
    <s v="OD-1056"/>
    <d v="2026-05-31T00:00:00"/>
    <x v="2"/>
    <x v="2"/>
    <x v="0"/>
    <s v="Smartphones"/>
    <n v="4"/>
    <n v="100000"/>
    <n v="20409.25"/>
    <x v="0"/>
  </r>
  <r>
    <s v="OD-1035"/>
    <d v="2026-06-01T00:00:00"/>
    <x v="4"/>
    <x v="0"/>
    <x v="0"/>
    <s v="Laptops"/>
    <n v="2"/>
    <n v="110000"/>
    <n v="20002.240000000002"/>
    <x v="1"/>
  </r>
  <r>
    <s v="OD-1048"/>
    <d v="2026-06-02T00:00:00"/>
    <x v="5"/>
    <x v="2"/>
    <x v="1"/>
    <s v="Recliners"/>
    <n v="5"/>
    <n v="110000"/>
    <n v="18807.57"/>
    <x v="1"/>
  </r>
  <r>
    <s v="OD-1076"/>
    <d v="2026-06-03T00:00:00"/>
    <x v="6"/>
    <x v="1"/>
    <x v="1"/>
    <s v="Dining Tables"/>
    <n v="3"/>
    <n v="105000"/>
    <n v="17201.689999999999"/>
    <x v="1"/>
  </r>
  <r>
    <s v="OD-1017"/>
    <d v="2026-06-04T00:00:00"/>
    <x v="7"/>
    <x v="2"/>
    <x v="0"/>
    <s v="Wireless Headphones"/>
    <n v="2"/>
    <n v="70000"/>
    <n v="14595.2"/>
    <x v="1"/>
  </r>
  <r>
    <s v="OD-1016"/>
    <d v="2026-06-05T00:00:00"/>
    <x v="8"/>
    <x v="1"/>
    <x v="0"/>
    <s v="Laptops"/>
    <n v="1"/>
    <n v="55000"/>
    <n v="12969.72"/>
    <x v="1"/>
  </r>
  <r>
    <s v="OD-1084"/>
    <d v="2026-06-06T00:00:00"/>
    <x v="9"/>
    <x v="3"/>
    <x v="1"/>
    <s v="Recliners"/>
    <n v="4"/>
    <n v="88000"/>
    <n v="12831.02"/>
    <x v="1"/>
  </r>
  <r>
    <s v="OD-1062"/>
    <d v="2026-06-07T00:00:00"/>
    <x v="10"/>
    <x v="1"/>
    <x v="1"/>
    <s v="Recliners"/>
    <n v="4"/>
    <n v="88000"/>
    <n v="12129.98"/>
    <x v="1"/>
  </r>
  <r>
    <s v="OD-1065"/>
    <d v="2026-06-08T00:00:00"/>
    <x v="8"/>
    <x v="1"/>
    <x v="1"/>
    <s v="Bookshelves"/>
    <n v="5"/>
    <n v="47500"/>
    <n v="11616.61"/>
    <x v="1"/>
  </r>
  <r>
    <s v="OD-1042"/>
    <d v="2026-06-09T00:00:00"/>
    <x v="2"/>
    <x v="0"/>
    <x v="0"/>
    <s v="Wireless Headphones"/>
    <n v="12"/>
    <n v="105000"/>
    <n v="11102.55"/>
    <x v="1"/>
  </r>
  <r>
    <s v="OD-1005"/>
    <d v="2026-06-10T00:00:00"/>
    <x v="6"/>
    <x v="2"/>
    <x v="1"/>
    <s v="Study Tables"/>
    <n v="5"/>
    <n v="60000"/>
    <n v="10850.8"/>
    <x v="1"/>
  </r>
  <r>
    <s v="OD-1038"/>
    <d v="2026-06-11T00:00:00"/>
    <x v="5"/>
    <x v="0"/>
    <x v="0"/>
    <s v="Smartphones"/>
    <n v="4"/>
    <n v="100000"/>
    <n v="10371.799999999999"/>
    <x v="1"/>
  </r>
  <r>
    <s v="OD-1023"/>
    <d v="2026-06-12T00:00:00"/>
    <x v="6"/>
    <x v="1"/>
    <x v="1"/>
    <s v="Bookshelves"/>
    <n v="5"/>
    <n v="47500"/>
    <n v="9465.83"/>
    <x v="1"/>
  </r>
  <r>
    <s v="OD-1050"/>
    <d v="2026-06-13T00:00:00"/>
    <x v="11"/>
    <x v="0"/>
    <x v="0"/>
    <s v="Laptops"/>
    <n v="1"/>
    <n v="55000"/>
    <n v="9257.18"/>
    <x v="1"/>
  </r>
  <r>
    <s v="OD-1060"/>
    <d v="2026-06-14T00:00:00"/>
    <x v="6"/>
    <x v="0"/>
    <x v="1"/>
    <s v="Study Tables"/>
    <n v="4"/>
    <n v="48000"/>
    <n v="9061.6299999999992"/>
    <x v="1"/>
  </r>
  <r>
    <s v="OD-1009"/>
    <d v="2026-06-15T00:00:00"/>
    <x v="12"/>
    <x v="1"/>
    <x v="1"/>
    <s v="Study Tables"/>
    <n v="3"/>
    <n v="36000"/>
    <n v="8848.2000000000007"/>
    <x v="1"/>
  </r>
  <r>
    <s v="OD-1047"/>
    <d v="2026-06-16T00:00:00"/>
    <x v="5"/>
    <x v="2"/>
    <x v="1"/>
    <s v="Recliners"/>
    <n v="3"/>
    <n v="66000"/>
    <n v="8680.81"/>
    <x v="1"/>
  </r>
  <r>
    <s v="OD-1006"/>
    <d v="2026-06-17T00:00:00"/>
    <x v="13"/>
    <x v="2"/>
    <x v="1"/>
    <s v="Bookshelves"/>
    <n v="5"/>
    <n v="47500"/>
    <n v="8266.2999999999993"/>
    <x v="1"/>
  </r>
  <r>
    <s v="OD-1054"/>
    <d v="2026-06-18T00:00:00"/>
    <x v="13"/>
    <x v="2"/>
    <x v="1"/>
    <s v="Study Tables"/>
    <n v="3"/>
    <n v="36000"/>
    <n v="7659.59"/>
    <x v="1"/>
  </r>
  <r>
    <s v="OD-1033"/>
    <d v="2026-06-19T00:00:00"/>
    <x v="9"/>
    <x v="3"/>
    <x v="1"/>
    <s v="Office Chairs"/>
    <n v="4"/>
    <n v="34000"/>
    <n v="7629.68"/>
    <x v="1"/>
  </r>
  <r>
    <s v="OD-1020"/>
    <d v="2026-06-20T00:00:00"/>
    <x v="12"/>
    <x v="1"/>
    <x v="0"/>
    <s v="Smartphones"/>
    <n v="2"/>
    <n v="50000"/>
    <n v="7089.09"/>
    <x v="1"/>
  </r>
  <r>
    <s v="OD-1069"/>
    <d v="2026-06-21T00:00:00"/>
    <x v="3"/>
    <x v="3"/>
    <x v="1"/>
    <s v="Office Chairs"/>
    <n v="4"/>
    <n v="34000"/>
    <n v="7007.27"/>
    <x v="1"/>
  </r>
  <r>
    <s v="OD-1036"/>
    <d v="2026-06-22T00:00:00"/>
    <x v="8"/>
    <x v="2"/>
    <x v="0"/>
    <s v="Smart Watches"/>
    <n v="3"/>
    <n v="45000"/>
    <n v="6961.4"/>
    <x v="1"/>
  </r>
  <r>
    <s v="OD-1093"/>
    <d v="2026-06-23T00:00:00"/>
    <x v="7"/>
    <x v="3"/>
    <x v="1"/>
    <s v="Recliners"/>
    <n v="2"/>
    <n v="44000"/>
    <n v="6576.7"/>
    <x v="1"/>
  </r>
  <r>
    <s v="OD-1024"/>
    <d v="2026-06-24T00:00:00"/>
    <x v="14"/>
    <x v="1"/>
    <x v="1"/>
    <s v="Study Tables"/>
    <n v="5"/>
    <n v="60000"/>
    <n v="6548.62"/>
    <x v="1"/>
  </r>
  <r>
    <s v="OD-1085"/>
    <d v="2026-06-25T00:00:00"/>
    <x v="5"/>
    <x v="0"/>
    <x v="0"/>
    <s v="Smartphones"/>
    <n v="2"/>
    <n v="50000"/>
    <n v="6303.6"/>
    <x v="1"/>
  </r>
  <r>
    <s v="OD-1064"/>
    <d v="2026-06-26T00:00:00"/>
    <x v="15"/>
    <x v="0"/>
    <x v="0"/>
    <s v="Smartphones"/>
    <n v="2"/>
    <n v="50000"/>
    <n v="5946.66"/>
    <x v="1"/>
  </r>
  <r>
    <s v="OD-1061"/>
    <d v="2026-06-27T00:00:00"/>
    <x v="7"/>
    <x v="2"/>
    <x v="1"/>
    <s v="Study Tables"/>
    <n v="3"/>
    <n v="36000"/>
    <n v="5647.16"/>
    <x v="1"/>
  </r>
  <r>
    <s v="OD-1094"/>
    <d v="2026-06-28T00:00:00"/>
    <x v="0"/>
    <x v="2"/>
    <x v="1"/>
    <s v="Dining Tables"/>
    <n v="1"/>
    <n v="35000"/>
    <n v="5151.22"/>
    <x v="1"/>
  </r>
  <r>
    <s v="OD-1051"/>
    <d v="2026-06-29T00:00:00"/>
    <x v="11"/>
    <x v="3"/>
    <x v="1"/>
    <s v="Recliners"/>
    <n v="1"/>
    <n v="22000"/>
    <n v="5145.78"/>
    <x v="1"/>
  </r>
  <r>
    <s v="OD-1045"/>
    <d v="2026-06-30T00:00:00"/>
    <x v="2"/>
    <x v="2"/>
    <x v="1"/>
    <s v="Office Chairs"/>
    <n v="3"/>
    <n v="25500"/>
    <n v="5100.87"/>
    <x v="1"/>
  </r>
  <r>
    <s v="OD-1015"/>
    <d v="2026-07-01T00:00:00"/>
    <x v="10"/>
    <x v="0"/>
    <x v="0"/>
    <s v="Smartphones"/>
    <n v="1"/>
    <n v="25000"/>
    <n v="4706.16"/>
    <x v="2"/>
  </r>
  <r>
    <s v="OD-1012"/>
    <d v="2026-07-02T00:00:00"/>
    <x v="16"/>
    <x v="0"/>
    <x v="0"/>
    <s v="Bluetooth Speakers"/>
    <n v="4"/>
    <n v="20000"/>
    <n v="4448.07"/>
    <x v="2"/>
  </r>
  <r>
    <s v="OD-1057"/>
    <d v="2026-07-03T00:00:00"/>
    <x v="7"/>
    <x v="3"/>
    <x v="1"/>
    <s v="Bookshelves"/>
    <n v="2"/>
    <n v="19000"/>
    <n v="4273.74"/>
    <x v="2"/>
  </r>
  <r>
    <s v="OD-1040"/>
    <d v="2026-07-04T00:00:00"/>
    <x v="17"/>
    <x v="1"/>
    <x v="0"/>
    <s v="Smart Watches"/>
    <n v="2"/>
    <n v="30000"/>
    <n v="4003.16"/>
    <x v="2"/>
  </r>
  <r>
    <s v="OD-1032"/>
    <d v="2026-07-05T00:00:00"/>
    <x v="4"/>
    <x v="0"/>
    <x v="1"/>
    <s v="Bookshelves"/>
    <n v="2"/>
    <n v="19000"/>
    <n v="3859.37"/>
    <x v="2"/>
  </r>
  <r>
    <s v="OD-1011"/>
    <d v="2026-07-06T00:00:00"/>
    <x v="4"/>
    <x v="2"/>
    <x v="0"/>
    <s v="Bluetooth Speakers"/>
    <n v="3"/>
    <n v="15000"/>
    <n v="3477.12"/>
    <x v="2"/>
  </r>
  <r>
    <s v="OD-1004"/>
    <d v="2026-07-07T00:00:00"/>
    <x v="2"/>
    <x v="3"/>
    <x v="1"/>
    <s v="Office Chairs"/>
    <n v="3"/>
    <n v="25500"/>
    <n v="3363.3"/>
    <x v="2"/>
  </r>
  <r>
    <s v="OD-1080"/>
    <d v="2026-07-08T00:00:00"/>
    <x v="4"/>
    <x v="0"/>
    <x v="1"/>
    <s v="Office Chairs"/>
    <n v="2"/>
    <n v="17000"/>
    <n v="3326.57"/>
    <x v="2"/>
  </r>
  <r>
    <s v="OD-1079"/>
    <d v="2026-07-09T00:00:00"/>
    <x v="9"/>
    <x v="2"/>
    <x v="1"/>
    <s v="Office Chairs"/>
    <n v="3"/>
    <n v="25500"/>
    <n v="3236.36"/>
    <x v="2"/>
  </r>
  <r>
    <s v="OD-1018"/>
    <d v="2026-07-10T00:00:00"/>
    <x v="8"/>
    <x v="3"/>
    <x v="0"/>
    <s v="Smart Watches"/>
    <n v="1"/>
    <n v="15000"/>
    <n v="2982.71"/>
    <x v="2"/>
  </r>
  <r>
    <s v="OD-1086"/>
    <d v="2026-07-11T00:00:00"/>
    <x v="18"/>
    <x v="0"/>
    <x v="1"/>
    <s v="Recliners"/>
    <n v="1"/>
    <n v="22000"/>
    <n v="2963.87"/>
    <x v="2"/>
  </r>
  <r>
    <s v="OD-1091"/>
    <d v="2026-07-12T00:00:00"/>
    <x v="3"/>
    <x v="0"/>
    <x v="0"/>
    <s v="Bluetooth Speakers"/>
    <n v="3"/>
    <n v="15000"/>
    <n v="2796.56"/>
    <x v="2"/>
  </r>
  <r>
    <s v="OD-1066"/>
    <d v="2026-07-13T00:00:00"/>
    <x v="19"/>
    <x v="1"/>
    <x v="0"/>
    <s v="Bluetooth Speakers"/>
    <n v="3"/>
    <n v="15000"/>
    <n v="2795.54"/>
    <x v="2"/>
  </r>
  <r>
    <s v="OD-1022"/>
    <d v="2026-07-14T00:00:00"/>
    <x v="16"/>
    <x v="0"/>
    <x v="1"/>
    <s v="Recliners"/>
    <n v="1"/>
    <n v="22000"/>
    <n v="2743.3"/>
    <x v="2"/>
  </r>
  <r>
    <s v="OD-1002"/>
    <d v="2026-07-15T00:00:00"/>
    <x v="11"/>
    <x v="2"/>
    <x v="1"/>
    <s v="Office Chairs"/>
    <n v="2"/>
    <n v="17000"/>
    <n v="2116.6799999999998"/>
    <x v="2"/>
  </r>
  <r>
    <s v="OD-1082"/>
    <d v="2026-07-16T00:00:00"/>
    <x v="17"/>
    <x v="0"/>
    <x v="0"/>
    <s v="Smart Watches"/>
    <n v="1"/>
    <n v="15000"/>
    <n v="1841.39"/>
    <x v="2"/>
  </r>
  <r>
    <s v="OD-1013"/>
    <d v="2026-07-17T00:00:00"/>
    <x v="14"/>
    <x v="0"/>
    <x v="2"/>
    <s v="Whiteboards"/>
    <n v="5"/>
    <n v="75000"/>
    <n v="1731.49"/>
    <x v="2"/>
  </r>
  <r>
    <s v="OD-1074"/>
    <d v="2026-07-18T00:00:00"/>
    <x v="17"/>
    <x v="2"/>
    <x v="0"/>
    <s v="Smart Watches"/>
    <n v="1"/>
    <n v="15000"/>
    <n v="1709.37"/>
    <x v="2"/>
  </r>
  <r>
    <s v="OD-1026"/>
    <d v="2026-07-19T00:00:00"/>
    <x v="7"/>
    <x v="0"/>
    <x v="0"/>
    <s v="Bluetooth Speakers"/>
    <n v="2"/>
    <n v="10000"/>
    <n v="1605.66"/>
    <x v="2"/>
  </r>
  <r>
    <s v="OD-1090"/>
    <d v="2026-07-20T00:00:00"/>
    <x v="20"/>
    <x v="2"/>
    <x v="2"/>
    <s v="Whiteboards"/>
    <n v="4"/>
    <n v="6000"/>
    <n v="1261.08"/>
    <x v="2"/>
  </r>
  <r>
    <s v="OD-1092"/>
    <d v="2026-07-21T00:00:00"/>
    <x v="17"/>
    <x v="2"/>
    <x v="2"/>
    <s v="Whiteboards"/>
    <n v="5"/>
    <n v="7500"/>
    <n v="1240.3699999999999"/>
    <x v="2"/>
  </r>
  <r>
    <s v="OD-1067"/>
    <d v="2026-07-22T00:00:00"/>
    <x v="6"/>
    <x v="1"/>
    <x v="0"/>
    <s v="Bluetooth Speakers"/>
    <n v="1"/>
    <n v="5000"/>
    <n v="1022.89"/>
    <x v="2"/>
  </r>
  <r>
    <s v="OD-1058"/>
    <d v="2026-07-23T00:00:00"/>
    <x v="21"/>
    <x v="0"/>
    <x v="2"/>
    <s v="Whiteboards"/>
    <n v="3"/>
    <n v="4500"/>
    <n v="958.6"/>
    <x v="2"/>
  </r>
  <r>
    <s v="OD-1019"/>
    <d v="2026-07-24T00:00:00"/>
    <x v="13"/>
    <x v="3"/>
    <x v="1"/>
    <s v="Office Chairs"/>
    <n v="1"/>
    <n v="8500"/>
    <n v="927.28"/>
    <x v="2"/>
  </r>
  <r>
    <s v="OD-1053"/>
    <d v="2026-07-25T00:00:00"/>
    <x v="9"/>
    <x v="2"/>
    <x v="2"/>
    <s v="File Organizers"/>
    <n v="5"/>
    <n v="4000"/>
    <n v="889"/>
    <x v="2"/>
  </r>
  <r>
    <s v="OD-1052"/>
    <d v="2026-07-26T00:00:00"/>
    <x v="13"/>
    <x v="1"/>
    <x v="0"/>
    <s v="Bluetooth Speakers"/>
    <n v="1"/>
    <n v="5000"/>
    <n v="842.35"/>
    <x v="2"/>
  </r>
  <r>
    <s v="OD-1070"/>
    <d v="2026-07-27T00:00:00"/>
    <x v="19"/>
    <x v="2"/>
    <x v="2"/>
    <s v="File Organizers"/>
    <n v="4"/>
    <n v="3200"/>
    <n v="543.14"/>
    <x v="2"/>
  </r>
  <r>
    <s v="OD-1089"/>
    <d v="2026-07-28T00:00:00"/>
    <x v="0"/>
    <x v="2"/>
    <x v="2"/>
    <s v="Desk Mats"/>
    <n v="4"/>
    <n v="2400"/>
    <n v="487.92"/>
    <x v="2"/>
  </r>
  <r>
    <s v="OD-1037"/>
    <d v="2026-07-29T00:00:00"/>
    <x v="22"/>
    <x v="1"/>
    <x v="2"/>
    <s v="A4 Paper Reams"/>
    <n v="5"/>
    <n v="1750"/>
    <n v="407.09"/>
    <x v="2"/>
  </r>
  <r>
    <s v="OD-1028"/>
    <d v="2026-07-30T00:00:00"/>
    <x v="20"/>
    <x v="1"/>
    <x v="2"/>
    <s v="File Organizers"/>
    <n v="3"/>
    <n v="2400"/>
    <n v="404.6"/>
    <x v="2"/>
  </r>
  <r>
    <s v="OD-1081"/>
    <d v="2026-07-31T00:00:00"/>
    <x v="12"/>
    <x v="0"/>
    <x v="2"/>
    <s v="File Organizers"/>
    <n v="2"/>
    <n v="1600"/>
    <n v="391.72"/>
    <x v="2"/>
  </r>
  <r>
    <s v="OD-1087"/>
    <d v="2026-08-01T00:00:00"/>
    <x v="10"/>
    <x v="0"/>
    <x v="2"/>
    <s v="A4 Paper Reams"/>
    <n v="5"/>
    <n v="1750"/>
    <n v="348.56"/>
    <x v="3"/>
  </r>
  <r>
    <s v="OD-1025"/>
    <d v="2026-08-02T00:00:00"/>
    <x v="15"/>
    <x v="0"/>
    <x v="2"/>
    <s v="Whiteboards"/>
    <n v="2"/>
    <n v="3000"/>
    <n v="325.60000000000002"/>
    <x v="3"/>
  </r>
  <r>
    <s v="OD-1077"/>
    <d v="2026-08-03T00:00:00"/>
    <x v="2"/>
    <x v="1"/>
    <x v="2"/>
    <s v="Whiteboards"/>
    <n v="1"/>
    <n v="1500"/>
    <n v="312.29000000000002"/>
    <x v="3"/>
  </r>
  <r>
    <s v="OD-1046"/>
    <d v="2026-08-04T00:00:00"/>
    <x v="6"/>
    <x v="1"/>
    <x v="2"/>
    <s v="A4 Paper Reams"/>
    <n v="4"/>
    <n v="1400"/>
    <n v="282.24"/>
    <x v="3"/>
  </r>
  <r>
    <s v="OD-1021"/>
    <d v="2026-08-05T00:00:00"/>
    <x v="7"/>
    <x v="3"/>
    <x v="2"/>
    <s v="Gel Pens (Pack)"/>
    <n v="5"/>
    <n v="1250"/>
    <n v="281.76"/>
    <x v="3"/>
  </r>
  <r>
    <s v="OD-1008"/>
    <d v="2026-08-06T00:00:00"/>
    <x v="9"/>
    <x v="1"/>
    <x v="2"/>
    <s v="Gel Pens (Pack)"/>
    <n v="5"/>
    <n v="1250"/>
    <n v="265.79000000000002"/>
    <x v="3"/>
  </r>
  <r>
    <s v="OD-1049"/>
    <d v="2026-08-07T00:00:00"/>
    <x v="7"/>
    <x v="1"/>
    <x v="2"/>
    <s v="Desk Mats"/>
    <n v="2"/>
    <n v="1200"/>
    <n v="241.1"/>
    <x v="3"/>
  </r>
  <r>
    <s v="OD-1063"/>
    <d v="2026-08-08T00:00:00"/>
    <x v="17"/>
    <x v="0"/>
    <x v="2"/>
    <s v="Desk Mats"/>
    <n v="3"/>
    <n v="1800"/>
    <n v="240.54"/>
    <x v="3"/>
  </r>
  <r>
    <s v="OD-1027"/>
    <d v="2026-08-09T00:00:00"/>
    <x v="16"/>
    <x v="2"/>
    <x v="2"/>
    <s v="Gel Pens (Pack)"/>
    <n v="5"/>
    <n v="1250"/>
    <n v="230.98"/>
    <x v="3"/>
  </r>
  <r>
    <s v="OD-1031"/>
    <d v="2026-08-10T00:00:00"/>
    <x v="3"/>
    <x v="2"/>
    <x v="2"/>
    <s v="File Organizers"/>
    <n v="2"/>
    <n v="1600"/>
    <n v="223.47"/>
    <x v="3"/>
  </r>
  <r>
    <s v="OD-1029"/>
    <d v="2026-08-11T00:00:00"/>
    <x v="3"/>
    <x v="3"/>
    <x v="2"/>
    <s v="Desk Mats"/>
    <n v="2"/>
    <n v="1200"/>
    <n v="211.06"/>
    <x v="3"/>
  </r>
  <r>
    <s v="OD-1078"/>
    <d v="2026-08-12T00:00:00"/>
    <x v="12"/>
    <x v="2"/>
    <x v="2"/>
    <s v="A4 Paper Reams"/>
    <n v="4"/>
    <n v="1400"/>
    <n v="198.06"/>
    <x v="3"/>
  </r>
  <r>
    <s v="OD-1010"/>
    <d v="2026-08-13T00:00:00"/>
    <x v="9"/>
    <x v="0"/>
    <x v="2"/>
    <s v="File Organizers"/>
    <n v="2"/>
    <n v="1600"/>
    <n v="196.68"/>
    <x v="3"/>
  </r>
  <r>
    <s v="OD-1044"/>
    <d v="2026-08-14T00:00:00"/>
    <x v="13"/>
    <x v="0"/>
    <x v="2"/>
    <s v="Desk Mats"/>
    <n v="2"/>
    <n v="1200"/>
    <n v="185.56"/>
    <x v="3"/>
  </r>
  <r>
    <s v="OD-1073"/>
    <d v="2026-08-15T00:00:00"/>
    <x v="2"/>
    <x v="1"/>
    <x v="2"/>
    <s v="File Organizers"/>
    <n v="2"/>
    <n v="1600"/>
    <n v="180.55"/>
    <x v="3"/>
  </r>
  <r>
    <s v="OD-1014"/>
    <d v="2026-08-16T00:00:00"/>
    <x v="11"/>
    <x v="2"/>
    <x v="2"/>
    <s v="A4 Paper Reams"/>
    <n v="3"/>
    <n v="1050"/>
    <n v="174"/>
    <x v="3"/>
  </r>
  <r>
    <s v="OD-1059"/>
    <d v="2026-08-17T00:00:00"/>
    <x v="4"/>
    <x v="2"/>
    <x v="2"/>
    <s v="A4 Paper Reams"/>
    <n v="4"/>
    <n v="1400"/>
    <n v="146.1"/>
    <x v="3"/>
  </r>
  <r>
    <s v="OD-1055"/>
    <d v="2026-08-18T00:00:00"/>
    <x v="9"/>
    <x v="3"/>
    <x v="2"/>
    <s v="A4 Paper Reams"/>
    <n v="3"/>
    <n v="1050"/>
    <n v="141.93"/>
    <x v="3"/>
  </r>
  <r>
    <s v="OD-1095"/>
    <d v="2026-08-19T00:00:00"/>
    <x v="12"/>
    <x v="3"/>
    <x v="2"/>
    <s v="Gel Pens (Pack)"/>
    <n v="4"/>
    <n v="1000"/>
    <n v="108.13"/>
    <x v="3"/>
  </r>
  <r>
    <s v="OD-1068"/>
    <d v="2026-08-20T00:00:00"/>
    <x v="5"/>
    <x v="0"/>
    <x v="2"/>
    <s v="Gel Pens (Pack)"/>
    <n v="3"/>
    <n v="750"/>
    <n v="82.76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6EDA19-F076-476A-B0FA-571D4894E954}" name="PivotTable6" cacheId="30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B7" firstHeaderRow="1" firstDataRow="1" firstDataCol="1"/>
  <pivotFields count="10">
    <pivotField compact="0" outline="0" showAll="0"/>
    <pivotField compact="0" numFmtId="166" outline="0" showAll="0"/>
    <pivotField compact="0" outline="0" showAll="0"/>
    <pivotField compact="0" outline="0" showAll="0"/>
    <pivotField axis="axisRow"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dataField="1" compact="0" numFmtId="164" outline="0" showAll="0"/>
    <pivotField compact="0" outline="0" showAll="0"/>
    <pivotField compact="0" outline="0" showAll="0"/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7" baseField="0" baseItem="0" numFmtId="164"/>
  </dataFields>
  <chartFormats count="16">
    <chartFormat chart="1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" format="6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" format="7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2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2" format="1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3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3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3" format="14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3" format="15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4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7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4" format="18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4" format="19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A8B58F-7CFD-4380-9D73-47293B26BC08}" name="PivotTable5" cacheId="30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B8" firstHeaderRow="1" firstDataRow="1" firstDataCol="1"/>
  <pivotFields count="10">
    <pivotField compact="0" outline="0" showAll="0"/>
    <pivotField compact="0" numFmtId="166" outline="0" showAll="0"/>
    <pivotField compact="0" outline="0" showAll="0"/>
    <pivotField axis="axisRow" compact="0" outline="0" showAll="0" sortType="descending">
      <items count="5">
        <item x="3"/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dataField="1" compact="0" numFmtId="164" outline="0" showAll="0"/>
    <pivotField compact="0" outline="0" showAll="0"/>
    <pivotField compact="0" outline="0" showAll="0"/>
  </pivotFields>
  <rowFields count="1">
    <field x="3"/>
  </rowFields>
  <rowItems count="5">
    <i>
      <x v="1"/>
    </i>
    <i>
      <x v="2"/>
    </i>
    <i>
      <x v="3"/>
    </i>
    <i>
      <x/>
    </i>
    <i t="grand">
      <x/>
    </i>
  </rowItems>
  <colItems count="1">
    <i/>
  </colItems>
  <dataFields count="1">
    <dataField name="Sum of Sales" fld="7" baseField="0" baseItem="0" numFmtId="164"/>
  </dataFields>
  <chartFormats count="1">
    <chartFormat chart="4" format="127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6C459F-94EC-45EE-9561-88D382A98C5C}" name="PivotTable4" cacheId="30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B8" firstHeaderRow="1" firstDataRow="1" firstDataCol="1"/>
  <pivotFields count="10">
    <pivotField compact="0" outline="0" showAll="0"/>
    <pivotField compact="0" numFmtId="166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numFmtId="164" outline="0" showAll="0"/>
    <pivotField compact="0" outline="0" showAll="0"/>
    <pivotField axis="axisRow" compact="0" outline="0" showAll="0" sortType="descending">
      <items count="5">
        <item x="0"/>
        <item x="1"/>
        <item x="2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9"/>
  </rowFields>
  <rowItems count="5">
    <i>
      <x v="1"/>
    </i>
    <i>
      <x/>
    </i>
    <i>
      <x v="2"/>
    </i>
    <i>
      <x v="3"/>
    </i>
    <i t="grand">
      <x/>
    </i>
  </rowItems>
  <colItems count="1">
    <i/>
  </colItems>
  <dataFields count="1">
    <dataField name="Sum of Sales" fld="7" baseField="0" baseItem="0" numFmtId="164"/>
  </dataFields>
  <chartFormats count="4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F89365-C5D0-434B-9244-0915C496D4B4}" name="PivotTable7" cacheId="30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B9" firstHeaderRow="1" firstDataRow="1" firstDataCol="1"/>
  <pivotFields count="10">
    <pivotField compact="0" outline="0" showAll="0"/>
    <pivotField compact="0" numFmtId="166" outline="0" showAll="0"/>
    <pivotField axis="axisRow" compact="0" outline="0" showAll="0" measureFilter="1" sortType="descending">
      <items count="24">
        <item x="0"/>
        <item x="10"/>
        <item x="11"/>
        <item x="12"/>
        <item x="22"/>
        <item x="3"/>
        <item x="21"/>
        <item x="16"/>
        <item x="6"/>
        <item x="4"/>
        <item x="13"/>
        <item x="18"/>
        <item x="5"/>
        <item x="15"/>
        <item x="2"/>
        <item x="17"/>
        <item x="7"/>
        <item x="8"/>
        <item x="14"/>
        <item x="19"/>
        <item x="1"/>
        <item x="9"/>
        <item x="2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  <pivotField dataField="1" compact="0" numFmtId="164" outline="0" showAll="0"/>
    <pivotField compact="0" outline="0" showAll="0"/>
    <pivotField compact="0" outline="0" showAll="0"/>
  </pivotFields>
  <rowFields count="1">
    <field x="2"/>
  </rowFields>
  <rowItems count="6">
    <i>
      <x/>
    </i>
    <i>
      <x v="14"/>
    </i>
    <i>
      <x v="20"/>
    </i>
    <i>
      <x v="12"/>
    </i>
    <i>
      <x v="8"/>
    </i>
    <i t="grand">
      <x/>
    </i>
  </rowItems>
  <colItems count="1">
    <i/>
  </colItems>
  <dataFields count="1">
    <dataField name="Sum of Sales" fld="7" baseField="0" baseItem="0" numFmtId="164"/>
  </dataFields>
  <chartFormats count="26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4" format="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4" format="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4" format="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4" format="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4" format="1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4" format="1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4" format="1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8"/>
          </reference>
        </references>
      </pivotArea>
    </chartFormat>
    <chartFormat chart="4" format="1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9"/>
          </reference>
        </references>
      </pivotArea>
    </chartFormat>
    <chartFormat chart="4" format="1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0"/>
          </reference>
        </references>
      </pivotArea>
    </chartFormat>
    <chartFormat chart="4" format="1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1"/>
          </reference>
        </references>
      </pivotArea>
    </chartFormat>
    <chartFormat chart="4" format="1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2"/>
          </reference>
        </references>
      </pivotArea>
    </chartFormat>
    <chartFormat chart="4" format="1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3"/>
          </reference>
        </references>
      </pivotArea>
    </chartFormat>
    <chartFormat chart="4" format="1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4"/>
          </reference>
        </references>
      </pivotArea>
    </chartFormat>
    <chartFormat chart="4" format="1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5"/>
          </reference>
        </references>
      </pivotArea>
    </chartFormat>
    <chartFormat chart="4" format="2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6"/>
          </reference>
        </references>
      </pivotArea>
    </chartFormat>
    <chartFormat chart="4" format="2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7"/>
          </reference>
        </references>
      </pivotArea>
    </chartFormat>
    <chartFormat chart="4" format="2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8"/>
          </reference>
        </references>
      </pivotArea>
    </chartFormat>
    <chartFormat chart="4" format="2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9"/>
          </reference>
        </references>
      </pivotArea>
    </chartFormat>
    <chartFormat chart="4" format="2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0"/>
          </reference>
        </references>
      </pivotArea>
    </chartFormat>
    <chartFormat chart="4" format="2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1"/>
          </reference>
        </references>
      </pivotArea>
    </chartFormat>
    <chartFormat chart="4" format="2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2"/>
          </reference>
        </references>
      </pivotArea>
    </chartFormat>
  </chartFormats>
  <pivotTableStyleInfo name="PivotStyleDark14" showRowHeaders="1" showColHeaders="1" showRowStripes="0" showColStripes="0" showLastColumn="1"/>
  <filters count="1">
    <filter fld="2" type="count" evalOrder="-1" id="3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070BE-2D76-46A7-9564-643C3D0FA293}">
  <dimension ref="A1:Q60"/>
  <sheetViews>
    <sheetView tabSelected="1" workbookViewId="0">
      <selection activeCell="L52" sqref="L52"/>
    </sheetView>
  </sheetViews>
  <sheetFormatPr defaultRowHeight="15"/>
  <cols>
    <col min="1" max="1" width="28.85546875" customWidth="1"/>
    <col min="2" max="2" width="4.85546875" customWidth="1"/>
    <col min="3" max="3" width="22" customWidth="1"/>
    <col min="4" max="4" width="5.42578125" customWidth="1"/>
    <col min="5" max="5" width="27.5703125" customWidth="1"/>
    <col min="6" max="6" width="4.85546875" customWidth="1"/>
    <col min="7" max="7" width="31.140625" customWidth="1"/>
  </cols>
  <sheetData>
    <row r="1" spans="1:16" ht="30">
      <c r="A1" s="27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9"/>
      <c r="M1" s="19"/>
      <c r="N1" s="19"/>
      <c r="O1" s="19"/>
      <c r="P1" s="19"/>
    </row>
    <row r="2" spans="1:16" ht="13.5" customHeight="1"/>
    <row r="3" spans="1:16" ht="18" customHeight="1">
      <c r="A3" s="24" t="s">
        <v>1</v>
      </c>
      <c r="B3" s="25"/>
      <c r="C3" s="25"/>
      <c r="D3" s="25"/>
      <c r="E3" s="25"/>
      <c r="F3" s="25"/>
      <c r="G3" s="25"/>
      <c r="H3" s="25"/>
      <c r="I3" s="25"/>
      <c r="J3" s="25"/>
      <c r="K3" s="26"/>
    </row>
    <row r="4" spans="1:16" ht="21" customHeight="1">
      <c r="B4" s="1"/>
      <c r="D4" s="1"/>
      <c r="F4" s="1"/>
    </row>
    <row r="5" spans="1:16" ht="29.25" customHeight="1">
      <c r="A5" s="5" t="s">
        <v>2</v>
      </c>
      <c r="C5" s="5" t="s">
        <v>3</v>
      </c>
      <c r="E5" s="5" t="s">
        <v>4</v>
      </c>
      <c r="G5" s="5" t="s">
        <v>5</v>
      </c>
      <c r="H5" t="s">
        <v>6</v>
      </c>
    </row>
    <row r="6" spans="1:16" ht="20.25" customHeight="1">
      <c r="A6" s="12">
        <f>ROUNDUP(SUM(Cleaned_data_ready_to_visualize!H2:H89)/1000000,2)</f>
        <v>3.4699999999999998</v>
      </c>
      <c r="C6" s="13">
        <f>ROUNDUP(SUM(Cleaned_data_ready_to_visualize!I2:I89)/1000,2)</f>
        <v>514.51</v>
      </c>
      <c r="E6" s="14">
        <f>SUM(Cleaned_data_ready_to_visualize!G2:G89)</f>
        <v>278</v>
      </c>
      <c r="G6" s="13">
        <f>ROUNDUP(AVERAGE(Cleaned_data_ready_to_visualize!H2:H89)/1000,2)</f>
        <v>39.35</v>
      </c>
    </row>
    <row r="7" spans="1:16">
      <c r="A7" s="11"/>
    </row>
    <row r="8" spans="1:16">
      <c r="G8" s="6"/>
    </row>
    <row r="10" spans="1:16" ht="15.75">
      <c r="A10" s="21" t="s">
        <v>7</v>
      </c>
      <c r="B10" s="22"/>
      <c r="C10" s="22"/>
      <c r="D10" s="22"/>
      <c r="E10" s="22"/>
      <c r="F10" s="22"/>
      <c r="G10" s="22"/>
      <c r="H10" s="22"/>
      <c r="I10" s="22"/>
      <c r="J10" s="22"/>
      <c r="K10" s="23"/>
    </row>
    <row r="25" spans="1:11" ht="15.75">
      <c r="A25" s="21" t="s">
        <v>8</v>
      </c>
      <c r="B25" s="22"/>
      <c r="C25" s="22"/>
      <c r="D25" s="22"/>
      <c r="E25" s="22"/>
      <c r="F25" s="22"/>
      <c r="G25" s="22"/>
      <c r="H25" s="22"/>
      <c r="I25" s="22"/>
      <c r="J25" s="22"/>
      <c r="K25" s="23"/>
    </row>
    <row r="42" spans="1:17" ht="15.75">
      <c r="A42" s="21" t="s">
        <v>9</v>
      </c>
      <c r="B42" s="22"/>
      <c r="C42" s="22"/>
      <c r="D42" s="22"/>
      <c r="E42" s="22"/>
      <c r="F42" s="22"/>
      <c r="G42" s="22"/>
      <c r="H42" s="22"/>
      <c r="I42" s="22"/>
      <c r="J42" s="22"/>
      <c r="K42" s="23"/>
    </row>
    <row r="44" spans="1:17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8"/>
      <c r="L44" s="18"/>
      <c r="M44" s="18"/>
      <c r="N44" s="18"/>
      <c r="O44" s="18"/>
      <c r="P44" s="18"/>
      <c r="Q44" s="18"/>
    </row>
    <row r="45" spans="1:17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7"/>
      <c r="M45" s="17"/>
      <c r="N45" s="17"/>
      <c r="O45" s="17"/>
      <c r="P45" s="17"/>
      <c r="Q45" s="17"/>
    </row>
    <row r="46" spans="1:17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7"/>
      <c r="M46" s="17"/>
      <c r="N46" s="17"/>
      <c r="O46" s="17"/>
      <c r="P46" s="17"/>
      <c r="Q46" s="17"/>
    </row>
    <row r="47" spans="1:17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7"/>
      <c r="M47" s="17"/>
      <c r="N47" s="17"/>
      <c r="O47" s="17"/>
      <c r="P47" s="17"/>
      <c r="Q47" s="17"/>
    </row>
    <row r="48" spans="1:17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7"/>
      <c r="M48" s="17"/>
      <c r="N48" s="17"/>
      <c r="O48" s="17"/>
      <c r="P48" s="17"/>
      <c r="Q48" s="17"/>
    </row>
    <row r="50" spans="1:5">
      <c r="E50" s="15"/>
    </row>
    <row r="60" spans="1:5">
      <c r="A60" s="20" t="s">
        <v>10</v>
      </c>
      <c r="B60" s="20"/>
      <c r="C60" s="20"/>
      <c r="D60" s="20"/>
    </row>
  </sheetData>
  <mergeCells count="6">
    <mergeCell ref="A60:D60"/>
    <mergeCell ref="A10:K10"/>
    <mergeCell ref="A3:K3"/>
    <mergeCell ref="A42:K42"/>
    <mergeCell ref="A1:L1"/>
    <mergeCell ref="A25:K2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59B00-918B-4EB3-BA03-4DDABD125FB6}">
  <dimension ref="A1:J89"/>
  <sheetViews>
    <sheetView workbookViewId="0">
      <selection activeCell="A3" sqref="A3:A8"/>
    </sheetView>
  </sheetViews>
  <sheetFormatPr defaultRowHeight="15"/>
  <cols>
    <col min="1" max="1" width="13.28515625" customWidth="1"/>
    <col min="2" max="2" width="17.140625" customWidth="1"/>
    <col min="3" max="3" width="19" customWidth="1"/>
    <col min="5" max="5" width="14" customWidth="1"/>
    <col min="6" max="6" width="24.5703125" customWidth="1"/>
    <col min="9" max="9" width="13.140625" customWidth="1"/>
    <col min="10" max="10" width="13" customWidth="1"/>
  </cols>
  <sheetData>
    <row r="1" spans="1:10">
      <c r="A1" s="7" t="s">
        <v>11</v>
      </c>
      <c r="B1" s="9" t="s">
        <v>12</v>
      </c>
      <c r="C1" s="8" t="s">
        <v>13</v>
      </c>
      <c r="D1" s="8" t="s">
        <v>14</v>
      </c>
      <c r="E1" s="8" t="s">
        <v>15</v>
      </c>
      <c r="F1" s="8" t="s">
        <v>16</v>
      </c>
      <c r="G1" s="8" t="s">
        <v>17</v>
      </c>
      <c r="H1" s="8" t="s">
        <v>18</v>
      </c>
      <c r="I1" s="8" t="s">
        <v>19</v>
      </c>
      <c r="J1" s="8" t="s">
        <v>20</v>
      </c>
    </row>
    <row r="2" spans="1:10">
      <c r="A2" s="2" t="s">
        <v>21</v>
      </c>
      <c r="B2" s="10">
        <v>46167</v>
      </c>
      <c r="C2" s="1" t="s">
        <v>22</v>
      </c>
      <c r="D2" s="1" t="s">
        <v>23</v>
      </c>
      <c r="E2" s="1" t="s">
        <v>24</v>
      </c>
      <c r="F2" s="1" t="s">
        <v>25</v>
      </c>
      <c r="G2" s="1">
        <v>5</v>
      </c>
      <c r="H2" s="1">
        <v>275000</v>
      </c>
      <c r="I2" s="1">
        <v>3000</v>
      </c>
      <c r="J2" s="1" t="s">
        <v>26</v>
      </c>
    </row>
    <row r="3" spans="1:10">
      <c r="A3" s="2" t="s">
        <v>27</v>
      </c>
      <c r="B3" s="10">
        <v>46168</v>
      </c>
      <c r="C3" s="1" t="s">
        <v>28</v>
      </c>
      <c r="D3" s="1" t="s">
        <v>23</v>
      </c>
      <c r="E3" s="1" t="s">
        <v>24</v>
      </c>
      <c r="F3" s="1" t="s">
        <v>29</v>
      </c>
      <c r="G3" s="1">
        <v>5</v>
      </c>
      <c r="H3" s="1">
        <v>175000</v>
      </c>
      <c r="I3" s="1">
        <v>35967.919999999998</v>
      </c>
      <c r="J3" s="1" t="s">
        <v>26</v>
      </c>
    </row>
    <row r="4" spans="1:10">
      <c r="A4" s="2" t="s">
        <v>30</v>
      </c>
      <c r="B4" s="10">
        <v>46169</v>
      </c>
      <c r="C4" s="1" t="s">
        <v>31</v>
      </c>
      <c r="D4" s="1" t="s">
        <v>32</v>
      </c>
      <c r="E4" s="1" t="s">
        <v>24</v>
      </c>
      <c r="F4" s="1" t="s">
        <v>29</v>
      </c>
      <c r="G4" s="1">
        <v>4</v>
      </c>
      <c r="H4" s="1">
        <v>140000</v>
      </c>
      <c r="I4" s="1">
        <v>25966.84</v>
      </c>
      <c r="J4" s="1" t="s">
        <v>26</v>
      </c>
    </row>
    <row r="5" spans="1:10">
      <c r="A5" s="2" t="s">
        <v>33</v>
      </c>
      <c r="B5" s="10">
        <v>46170</v>
      </c>
      <c r="C5" s="1" t="s">
        <v>34</v>
      </c>
      <c r="D5" s="1" t="s">
        <v>32</v>
      </c>
      <c r="E5" s="1" t="s">
        <v>24</v>
      </c>
      <c r="F5" s="1" t="s">
        <v>29</v>
      </c>
      <c r="G5" s="1">
        <v>6</v>
      </c>
      <c r="H5" s="1">
        <v>140000</v>
      </c>
      <c r="I5" s="1">
        <v>25585.29</v>
      </c>
      <c r="J5" s="1" t="s">
        <v>26</v>
      </c>
    </row>
    <row r="6" spans="1:10">
      <c r="A6" s="2" t="s">
        <v>35</v>
      </c>
      <c r="B6" s="10">
        <v>46171</v>
      </c>
      <c r="C6" s="1" t="s">
        <v>28</v>
      </c>
      <c r="D6" s="1" t="s">
        <v>32</v>
      </c>
      <c r="E6" s="1" t="s">
        <v>36</v>
      </c>
      <c r="F6" s="1" t="s">
        <v>37</v>
      </c>
      <c r="G6" s="1">
        <v>5</v>
      </c>
      <c r="H6" s="1">
        <v>175000</v>
      </c>
      <c r="I6" s="1">
        <v>22489.57</v>
      </c>
      <c r="J6" s="1" t="s">
        <v>26</v>
      </c>
    </row>
    <row r="7" spans="1:10">
      <c r="A7" s="2" t="s">
        <v>38</v>
      </c>
      <c r="B7" s="10">
        <v>46172</v>
      </c>
      <c r="C7" s="1" t="s">
        <v>22</v>
      </c>
      <c r="D7" s="1" t="s">
        <v>23</v>
      </c>
      <c r="E7" s="1" t="s">
        <v>24</v>
      </c>
      <c r="F7" s="1" t="s">
        <v>25</v>
      </c>
      <c r="G7" s="1">
        <v>3</v>
      </c>
      <c r="H7" s="1">
        <v>200000</v>
      </c>
      <c r="I7" s="1">
        <v>20525.689999999999</v>
      </c>
      <c r="J7" s="1" t="s">
        <v>26</v>
      </c>
    </row>
    <row r="8" spans="1:10">
      <c r="A8" s="2" t="s">
        <v>39</v>
      </c>
      <c r="B8" s="10">
        <v>46173</v>
      </c>
      <c r="C8" s="1" t="s">
        <v>31</v>
      </c>
      <c r="D8" s="1" t="s">
        <v>40</v>
      </c>
      <c r="E8" s="1" t="s">
        <v>24</v>
      </c>
      <c r="F8" s="1" t="s">
        <v>41</v>
      </c>
      <c r="G8" s="1">
        <v>4</v>
      </c>
      <c r="H8" s="1">
        <v>100000</v>
      </c>
      <c r="I8" s="1">
        <v>20409.25</v>
      </c>
      <c r="J8" s="1" t="s">
        <v>26</v>
      </c>
    </row>
    <row r="9" spans="1:10">
      <c r="A9" s="2" t="s">
        <v>42</v>
      </c>
      <c r="B9" s="10">
        <v>46174</v>
      </c>
      <c r="C9" s="1" t="s">
        <v>43</v>
      </c>
      <c r="D9" s="1" t="s">
        <v>23</v>
      </c>
      <c r="E9" s="1" t="s">
        <v>24</v>
      </c>
      <c r="F9" s="1" t="s">
        <v>25</v>
      </c>
      <c r="G9" s="1">
        <v>2</v>
      </c>
      <c r="H9" s="1">
        <v>110000</v>
      </c>
      <c r="I9" s="1">
        <v>20002.240000000002</v>
      </c>
      <c r="J9" s="1" t="s">
        <v>44</v>
      </c>
    </row>
    <row r="10" spans="1:10">
      <c r="A10" s="2" t="s">
        <v>45</v>
      </c>
      <c r="B10" s="10">
        <v>46175</v>
      </c>
      <c r="C10" s="1" t="s">
        <v>46</v>
      </c>
      <c r="D10" s="1" t="s">
        <v>40</v>
      </c>
      <c r="E10" s="1" t="s">
        <v>36</v>
      </c>
      <c r="F10" s="1" t="s">
        <v>47</v>
      </c>
      <c r="G10" s="1">
        <v>5</v>
      </c>
      <c r="H10" s="1">
        <v>110000</v>
      </c>
      <c r="I10" s="1">
        <v>18807.57</v>
      </c>
      <c r="J10" s="1" t="s">
        <v>44</v>
      </c>
    </row>
    <row r="11" spans="1:10">
      <c r="A11" s="2" t="s">
        <v>48</v>
      </c>
      <c r="B11" s="10">
        <v>46176</v>
      </c>
      <c r="C11" s="1" t="s">
        <v>49</v>
      </c>
      <c r="D11" s="1" t="s">
        <v>32</v>
      </c>
      <c r="E11" s="1" t="s">
        <v>36</v>
      </c>
      <c r="F11" s="1" t="s">
        <v>37</v>
      </c>
      <c r="G11" s="1">
        <v>3</v>
      </c>
      <c r="H11" s="1">
        <v>105000</v>
      </c>
      <c r="I11" s="1">
        <v>17201.689999999999</v>
      </c>
      <c r="J11" s="1" t="s">
        <v>44</v>
      </c>
    </row>
    <row r="12" spans="1:10">
      <c r="A12" s="2" t="s">
        <v>50</v>
      </c>
      <c r="B12" s="10">
        <v>46177</v>
      </c>
      <c r="C12" s="1" t="s">
        <v>51</v>
      </c>
      <c r="D12" s="1" t="s">
        <v>40</v>
      </c>
      <c r="E12" s="1" t="s">
        <v>24</v>
      </c>
      <c r="F12" s="1" t="s">
        <v>29</v>
      </c>
      <c r="G12" s="1">
        <v>2</v>
      </c>
      <c r="H12" s="1">
        <v>70000</v>
      </c>
      <c r="I12" s="1">
        <v>14595.2</v>
      </c>
      <c r="J12" s="1" t="s">
        <v>44</v>
      </c>
    </row>
    <row r="13" spans="1:10">
      <c r="A13" s="2" t="s">
        <v>52</v>
      </c>
      <c r="B13" s="10">
        <v>46178</v>
      </c>
      <c r="C13" s="1" t="s">
        <v>53</v>
      </c>
      <c r="D13" s="1" t="s">
        <v>32</v>
      </c>
      <c r="E13" s="1" t="s">
        <v>24</v>
      </c>
      <c r="F13" s="1" t="s">
        <v>25</v>
      </c>
      <c r="G13" s="1">
        <v>1</v>
      </c>
      <c r="H13" s="1">
        <v>55000</v>
      </c>
      <c r="I13" s="1">
        <v>12969.72</v>
      </c>
      <c r="J13" s="1" t="s">
        <v>44</v>
      </c>
    </row>
    <row r="14" spans="1:10">
      <c r="A14" s="2" t="s">
        <v>54</v>
      </c>
      <c r="B14" s="10">
        <v>46179</v>
      </c>
      <c r="C14" s="1" t="s">
        <v>55</v>
      </c>
      <c r="D14" s="1" t="s">
        <v>56</v>
      </c>
      <c r="E14" s="1" t="s">
        <v>36</v>
      </c>
      <c r="F14" s="1" t="s">
        <v>47</v>
      </c>
      <c r="G14" s="1">
        <v>4</v>
      </c>
      <c r="H14" s="1">
        <v>88000</v>
      </c>
      <c r="I14" s="1">
        <v>12831.02</v>
      </c>
      <c r="J14" s="1" t="s">
        <v>44</v>
      </c>
    </row>
    <row r="15" spans="1:10">
      <c r="A15" s="2" t="s">
        <v>57</v>
      </c>
      <c r="B15" s="10">
        <v>46180</v>
      </c>
      <c r="C15" s="1" t="s">
        <v>58</v>
      </c>
      <c r="D15" s="1" t="s">
        <v>32</v>
      </c>
      <c r="E15" s="1" t="s">
        <v>36</v>
      </c>
      <c r="F15" s="1" t="s">
        <v>47</v>
      </c>
      <c r="G15" s="1">
        <v>4</v>
      </c>
      <c r="H15" s="1">
        <v>88000</v>
      </c>
      <c r="I15" s="1">
        <v>12129.98</v>
      </c>
      <c r="J15" s="1" t="s">
        <v>44</v>
      </c>
    </row>
    <row r="16" spans="1:10">
      <c r="A16" s="2" t="s">
        <v>59</v>
      </c>
      <c r="B16" s="10">
        <v>46181</v>
      </c>
      <c r="C16" s="1" t="s">
        <v>53</v>
      </c>
      <c r="D16" s="1" t="s">
        <v>32</v>
      </c>
      <c r="E16" s="1" t="s">
        <v>36</v>
      </c>
      <c r="F16" s="1" t="s">
        <v>60</v>
      </c>
      <c r="G16" s="1">
        <v>5</v>
      </c>
      <c r="H16" s="1">
        <v>47500</v>
      </c>
      <c r="I16" s="1">
        <v>11616.61</v>
      </c>
      <c r="J16" s="1" t="s">
        <v>44</v>
      </c>
    </row>
    <row r="17" spans="1:10">
      <c r="A17" s="2" t="s">
        <v>61</v>
      </c>
      <c r="B17" s="10">
        <v>46182</v>
      </c>
      <c r="C17" s="1" t="s">
        <v>31</v>
      </c>
      <c r="D17" s="1" t="s">
        <v>23</v>
      </c>
      <c r="E17" s="1" t="s">
        <v>24</v>
      </c>
      <c r="F17" s="1" t="s">
        <v>29</v>
      </c>
      <c r="G17" s="1">
        <v>12</v>
      </c>
      <c r="H17" s="1">
        <v>105000</v>
      </c>
      <c r="I17" s="1">
        <v>11102.55</v>
      </c>
      <c r="J17" s="1" t="s">
        <v>44</v>
      </c>
    </row>
    <row r="18" spans="1:10">
      <c r="A18" s="2" t="s">
        <v>62</v>
      </c>
      <c r="B18" s="10">
        <v>46183</v>
      </c>
      <c r="C18" s="1" t="s">
        <v>49</v>
      </c>
      <c r="D18" s="1" t="s">
        <v>40</v>
      </c>
      <c r="E18" s="1" t="s">
        <v>36</v>
      </c>
      <c r="F18" s="1" t="s">
        <v>63</v>
      </c>
      <c r="G18" s="1">
        <v>5</v>
      </c>
      <c r="H18" s="1">
        <v>60000</v>
      </c>
      <c r="I18" s="1">
        <v>10850.8</v>
      </c>
      <c r="J18" s="1" t="s">
        <v>44</v>
      </c>
    </row>
    <row r="19" spans="1:10">
      <c r="A19" s="2" t="s">
        <v>64</v>
      </c>
      <c r="B19" s="10">
        <v>46184</v>
      </c>
      <c r="C19" s="1" t="s">
        <v>46</v>
      </c>
      <c r="D19" s="1" t="s">
        <v>23</v>
      </c>
      <c r="E19" s="1" t="s">
        <v>24</v>
      </c>
      <c r="F19" s="1" t="s">
        <v>41</v>
      </c>
      <c r="G19" s="1">
        <v>4</v>
      </c>
      <c r="H19" s="1">
        <v>100000</v>
      </c>
      <c r="I19" s="1">
        <v>10371.799999999999</v>
      </c>
      <c r="J19" s="1" t="s">
        <v>44</v>
      </c>
    </row>
    <row r="20" spans="1:10">
      <c r="A20" s="2" t="s">
        <v>65</v>
      </c>
      <c r="B20" s="10">
        <v>46185</v>
      </c>
      <c r="C20" s="1" t="s">
        <v>49</v>
      </c>
      <c r="D20" s="1" t="s">
        <v>32</v>
      </c>
      <c r="E20" s="1" t="s">
        <v>36</v>
      </c>
      <c r="F20" s="1" t="s">
        <v>60</v>
      </c>
      <c r="G20" s="1">
        <v>5</v>
      </c>
      <c r="H20" s="1">
        <v>47500</v>
      </c>
      <c r="I20" s="1">
        <v>9465.83</v>
      </c>
      <c r="J20" s="1" t="s">
        <v>44</v>
      </c>
    </row>
    <row r="21" spans="1:10">
      <c r="A21" s="2" t="s">
        <v>66</v>
      </c>
      <c r="B21" s="10">
        <v>46186</v>
      </c>
      <c r="C21" s="1" t="s">
        <v>67</v>
      </c>
      <c r="D21" s="1" t="s">
        <v>23</v>
      </c>
      <c r="E21" s="1" t="s">
        <v>24</v>
      </c>
      <c r="F21" s="1" t="s">
        <v>25</v>
      </c>
      <c r="G21" s="1">
        <v>1</v>
      </c>
      <c r="H21" s="1">
        <v>55000</v>
      </c>
      <c r="I21" s="1">
        <v>9257.18</v>
      </c>
      <c r="J21" s="1" t="s">
        <v>44</v>
      </c>
    </row>
    <row r="22" spans="1:10">
      <c r="A22" s="2" t="s">
        <v>68</v>
      </c>
      <c r="B22" s="10">
        <v>46187</v>
      </c>
      <c r="C22" s="1" t="s">
        <v>49</v>
      </c>
      <c r="D22" s="1" t="s">
        <v>23</v>
      </c>
      <c r="E22" s="1" t="s">
        <v>36</v>
      </c>
      <c r="F22" s="1" t="s">
        <v>63</v>
      </c>
      <c r="G22" s="1">
        <v>4</v>
      </c>
      <c r="H22" s="1">
        <v>48000</v>
      </c>
      <c r="I22" s="1">
        <v>9061.6299999999992</v>
      </c>
      <c r="J22" s="1" t="s">
        <v>44</v>
      </c>
    </row>
    <row r="23" spans="1:10">
      <c r="A23" s="2" t="s">
        <v>69</v>
      </c>
      <c r="B23" s="10">
        <v>46188</v>
      </c>
      <c r="C23" s="1" t="s">
        <v>70</v>
      </c>
      <c r="D23" s="1" t="s">
        <v>32</v>
      </c>
      <c r="E23" s="1" t="s">
        <v>36</v>
      </c>
      <c r="F23" s="1" t="s">
        <v>63</v>
      </c>
      <c r="G23" s="1">
        <v>3</v>
      </c>
      <c r="H23" s="1">
        <v>36000</v>
      </c>
      <c r="I23" s="1">
        <v>8848.2000000000007</v>
      </c>
      <c r="J23" s="1" t="s">
        <v>44</v>
      </c>
    </row>
    <row r="24" spans="1:10">
      <c r="A24" s="2" t="s">
        <v>71</v>
      </c>
      <c r="B24" s="10">
        <v>46189</v>
      </c>
      <c r="C24" s="1" t="s">
        <v>46</v>
      </c>
      <c r="D24" s="1" t="s">
        <v>40</v>
      </c>
      <c r="E24" s="1" t="s">
        <v>36</v>
      </c>
      <c r="F24" s="1" t="s">
        <v>47</v>
      </c>
      <c r="G24" s="1">
        <v>3</v>
      </c>
      <c r="H24" s="1">
        <v>66000</v>
      </c>
      <c r="I24" s="1">
        <v>8680.81</v>
      </c>
      <c r="J24" s="1" t="s">
        <v>44</v>
      </c>
    </row>
    <row r="25" spans="1:10">
      <c r="A25" s="2" t="s">
        <v>72</v>
      </c>
      <c r="B25" s="10">
        <v>46190</v>
      </c>
      <c r="C25" s="1" t="s">
        <v>73</v>
      </c>
      <c r="D25" s="1" t="s">
        <v>40</v>
      </c>
      <c r="E25" s="1" t="s">
        <v>36</v>
      </c>
      <c r="F25" s="1" t="s">
        <v>60</v>
      </c>
      <c r="G25" s="1">
        <v>5</v>
      </c>
      <c r="H25" s="1">
        <v>47500</v>
      </c>
      <c r="I25" s="1">
        <v>8266.2999999999993</v>
      </c>
      <c r="J25" s="1" t="s">
        <v>44</v>
      </c>
    </row>
    <row r="26" spans="1:10">
      <c r="A26" s="2" t="s">
        <v>74</v>
      </c>
      <c r="B26" s="10">
        <v>46191</v>
      </c>
      <c r="C26" s="1" t="s">
        <v>73</v>
      </c>
      <c r="D26" s="1" t="s">
        <v>40</v>
      </c>
      <c r="E26" s="1" t="s">
        <v>36</v>
      </c>
      <c r="F26" s="1" t="s">
        <v>63</v>
      </c>
      <c r="G26" s="1">
        <v>3</v>
      </c>
      <c r="H26" s="1">
        <v>36000</v>
      </c>
      <c r="I26" s="1">
        <v>7659.59</v>
      </c>
      <c r="J26" s="1" t="s">
        <v>44</v>
      </c>
    </row>
    <row r="27" spans="1:10">
      <c r="A27" s="2" t="s">
        <v>75</v>
      </c>
      <c r="B27" s="10">
        <v>46192</v>
      </c>
      <c r="C27" s="1" t="s">
        <v>55</v>
      </c>
      <c r="D27" s="1" t="s">
        <v>56</v>
      </c>
      <c r="E27" s="1" t="s">
        <v>36</v>
      </c>
      <c r="F27" s="1" t="s">
        <v>76</v>
      </c>
      <c r="G27" s="1">
        <v>4</v>
      </c>
      <c r="H27" s="1">
        <v>34000</v>
      </c>
      <c r="I27" s="1">
        <v>7629.68</v>
      </c>
      <c r="J27" s="1" t="s">
        <v>44</v>
      </c>
    </row>
    <row r="28" spans="1:10">
      <c r="A28" s="2" t="s">
        <v>77</v>
      </c>
      <c r="B28" s="10">
        <v>46193</v>
      </c>
      <c r="C28" s="1" t="s">
        <v>70</v>
      </c>
      <c r="D28" s="1" t="s">
        <v>32</v>
      </c>
      <c r="E28" s="1" t="s">
        <v>24</v>
      </c>
      <c r="F28" s="1" t="s">
        <v>41</v>
      </c>
      <c r="G28" s="1">
        <v>2</v>
      </c>
      <c r="H28" s="1">
        <v>50000</v>
      </c>
      <c r="I28" s="1">
        <v>7089.09</v>
      </c>
      <c r="J28" s="1" t="s">
        <v>44</v>
      </c>
    </row>
    <row r="29" spans="1:10">
      <c r="A29" s="2" t="s">
        <v>78</v>
      </c>
      <c r="B29" s="10">
        <v>46194</v>
      </c>
      <c r="C29" s="1" t="s">
        <v>34</v>
      </c>
      <c r="D29" s="1" t="s">
        <v>56</v>
      </c>
      <c r="E29" s="1" t="s">
        <v>36</v>
      </c>
      <c r="F29" s="1" t="s">
        <v>76</v>
      </c>
      <c r="G29" s="1">
        <v>4</v>
      </c>
      <c r="H29" s="1">
        <v>34000</v>
      </c>
      <c r="I29" s="1">
        <v>7007.27</v>
      </c>
      <c r="J29" s="1" t="s">
        <v>44</v>
      </c>
    </row>
    <row r="30" spans="1:10">
      <c r="A30" s="2" t="s">
        <v>79</v>
      </c>
      <c r="B30" s="10">
        <v>46195</v>
      </c>
      <c r="C30" s="1" t="s">
        <v>53</v>
      </c>
      <c r="D30" s="1" t="s">
        <v>40</v>
      </c>
      <c r="E30" s="1" t="s">
        <v>24</v>
      </c>
      <c r="F30" s="1" t="s">
        <v>80</v>
      </c>
      <c r="G30" s="1">
        <v>3</v>
      </c>
      <c r="H30" s="1">
        <v>45000</v>
      </c>
      <c r="I30" s="1">
        <v>6961.4</v>
      </c>
      <c r="J30" s="1" t="s">
        <v>44</v>
      </c>
    </row>
    <row r="31" spans="1:10">
      <c r="A31" s="2" t="s">
        <v>81</v>
      </c>
      <c r="B31" s="10">
        <v>46196</v>
      </c>
      <c r="C31" s="1" t="s">
        <v>51</v>
      </c>
      <c r="D31" s="1" t="s">
        <v>56</v>
      </c>
      <c r="E31" s="1" t="s">
        <v>36</v>
      </c>
      <c r="F31" s="1" t="s">
        <v>47</v>
      </c>
      <c r="G31" s="1">
        <v>2</v>
      </c>
      <c r="H31" s="1">
        <v>44000</v>
      </c>
      <c r="I31" s="1">
        <v>6576.7</v>
      </c>
      <c r="J31" s="1" t="s">
        <v>44</v>
      </c>
    </row>
    <row r="32" spans="1:10">
      <c r="A32" s="2" t="s">
        <v>82</v>
      </c>
      <c r="B32" s="10">
        <v>46197</v>
      </c>
      <c r="C32" s="1" t="s">
        <v>83</v>
      </c>
      <c r="D32" s="1" t="s">
        <v>32</v>
      </c>
      <c r="E32" s="1" t="s">
        <v>36</v>
      </c>
      <c r="F32" s="1" t="s">
        <v>63</v>
      </c>
      <c r="G32" s="1">
        <v>5</v>
      </c>
      <c r="H32" s="1">
        <v>60000</v>
      </c>
      <c r="I32" s="1">
        <v>6548.62</v>
      </c>
      <c r="J32" s="1" t="s">
        <v>44</v>
      </c>
    </row>
    <row r="33" spans="1:10">
      <c r="A33" s="2" t="s">
        <v>84</v>
      </c>
      <c r="B33" s="10">
        <v>46198</v>
      </c>
      <c r="C33" s="1" t="s">
        <v>46</v>
      </c>
      <c r="D33" s="1" t="s">
        <v>23</v>
      </c>
      <c r="E33" s="1" t="s">
        <v>24</v>
      </c>
      <c r="F33" s="1" t="s">
        <v>41</v>
      </c>
      <c r="G33" s="1">
        <v>2</v>
      </c>
      <c r="H33" s="1">
        <v>50000</v>
      </c>
      <c r="I33" s="1">
        <v>6303.6</v>
      </c>
      <c r="J33" s="1" t="s">
        <v>44</v>
      </c>
    </row>
    <row r="34" spans="1:10">
      <c r="A34" s="2" t="s">
        <v>85</v>
      </c>
      <c r="B34" s="10">
        <v>46199</v>
      </c>
      <c r="C34" s="1" t="s">
        <v>86</v>
      </c>
      <c r="D34" s="1" t="s">
        <v>23</v>
      </c>
      <c r="E34" s="1" t="s">
        <v>24</v>
      </c>
      <c r="F34" s="1" t="s">
        <v>41</v>
      </c>
      <c r="G34" s="1">
        <v>2</v>
      </c>
      <c r="H34" s="1">
        <v>50000</v>
      </c>
      <c r="I34" s="1">
        <v>5946.66</v>
      </c>
      <c r="J34" s="1" t="s">
        <v>44</v>
      </c>
    </row>
    <row r="35" spans="1:10">
      <c r="A35" s="2" t="s">
        <v>87</v>
      </c>
      <c r="B35" s="10">
        <v>46200</v>
      </c>
      <c r="C35" s="1" t="s">
        <v>51</v>
      </c>
      <c r="D35" s="1" t="s">
        <v>40</v>
      </c>
      <c r="E35" s="1" t="s">
        <v>36</v>
      </c>
      <c r="F35" s="1" t="s">
        <v>63</v>
      </c>
      <c r="G35" s="1">
        <v>3</v>
      </c>
      <c r="H35" s="1">
        <v>36000</v>
      </c>
      <c r="I35" s="1">
        <v>5647.16</v>
      </c>
      <c r="J35" s="1" t="s">
        <v>44</v>
      </c>
    </row>
    <row r="36" spans="1:10">
      <c r="A36" s="2" t="s">
        <v>88</v>
      </c>
      <c r="B36" s="10">
        <v>46201</v>
      </c>
      <c r="C36" s="1" t="s">
        <v>22</v>
      </c>
      <c r="D36" s="1" t="s">
        <v>40</v>
      </c>
      <c r="E36" s="1" t="s">
        <v>36</v>
      </c>
      <c r="F36" s="1" t="s">
        <v>37</v>
      </c>
      <c r="G36" s="1">
        <v>1</v>
      </c>
      <c r="H36" s="1">
        <v>35000</v>
      </c>
      <c r="I36" s="1">
        <v>5151.22</v>
      </c>
      <c r="J36" s="1" t="s">
        <v>44</v>
      </c>
    </row>
    <row r="37" spans="1:10">
      <c r="A37" s="2" t="s">
        <v>89</v>
      </c>
      <c r="B37" s="10">
        <v>46202</v>
      </c>
      <c r="C37" s="1" t="s">
        <v>67</v>
      </c>
      <c r="D37" s="1" t="s">
        <v>56</v>
      </c>
      <c r="E37" s="1" t="s">
        <v>36</v>
      </c>
      <c r="F37" s="1" t="s">
        <v>47</v>
      </c>
      <c r="G37" s="1">
        <v>1</v>
      </c>
      <c r="H37" s="1">
        <v>22000</v>
      </c>
      <c r="I37" s="1">
        <v>5145.78</v>
      </c>
      <c r="J37" s="1" t="s">
        <v>44</v>
      </c>
    </row>
    <row r="38" spans="1:10">
      <c r="A38" s="2" t="s">
        <v>90</v>
      </c>
      <c r="B38" s="10">
        <v>46203</v>
      </c>
      <c r="C38" s="1" t="s">
        <v>31</v>
      </c>
      <c r="D38" s="1" t="s">
        <v>40</v>
      </c>
      <c r="E38" s="1" t="s">
        <v>36</v>
      </c>
      <c r="F38" s="1" t="s">
        <v>76</v>
      </c>
      <c r="G38" s="1">
        <v>3</v>
      </c>
      <c r="H38" s="1">
        <v>25500</v>
      </c>
      <c r="I38" s="1">
        <v>5100.87</v>
      </c>
      <c r="J38" s="1" t="s">
        <v>44</v>
      </c>
    </row>
    <row r="39" spans="1:10">
      <c r="A39" s="2" t="s">
        <v>91</v>
      </c>
      <c r="B39" s="10">
        <v>46204</v>
      </c>
      <c r="C39" s="1" t="s">
        <v>58</v>
      </c>
      <c r="D39" s="1" t="s">
        <v>23</v>
      </c>
      <c r="E39" s="1" t="s">
        <v>24</v>
      </c>
      <c r="F39" s="1" t="s">
        <v>41</v>
      </c>
      <c r="G39" s="1">
        <v>1</v>
      </c>
      <c r="H39" s="1">
        <v>25000</v>
      </c>
      <c r="I39" s="1">
        <v>4706.16</v>
      </c>
      <c r="J39" s="1" t="s">
        <v>92</v>
      </c>
    </row>
    <row r="40" spans="1:10">
      <c r="A40" s="2" t="s">
        <v>93</v>
      </c>
      <c r="B40" s="10">
        <v>46205</v>
      </c>
      <c r="C40" s="1" t="s">
        <v>94</v>
      </c>
      <c r="D40" s="1" t="s">
        <v>23</v>
      </c>
      <c r="E40" s="1" t="s">
        <v>24</v>
      </c>
      <c r="F40" s="1" t="s">
        <v>95</v>
      </c>
      <c r="G40" s="1">
        <v>4</v>
      </c>
      <c r="H40" s="1">
        <v>20000</v>
      </c>
      <c r="I40" s="1">
        <v>4448.07</v>
      </c>
      <c r="J40" s="1" t="s">
        <v>92</v>
      </c>
    </row>
    <row r="41" spans="1:10">
      <c r="A41" s="2" t="s">
        <v>96</v>
      </c>
      <c r="B41" s="10">
        <v>46206</v>
      </c>
      <c r="C41" s="1" t="s">
        <v>51</v>
      </c>
      <c r="D41" s="1" t="s">
        <v>56</v>
      </c>
      <c r="E41" s="1" t="s">
        <v>36</v>
      </c>
      <c r="F41" s="1" t="s">
        <v>60</v>
      </c>
      <c r="G41" s="1">
        <v>2</v>
      </c>
      <c r="H41" s="1">
        <v>19000</v>
      </c>
      <c r="I41" s="1">
        <v>4273.74</v>
      </c>
      <c r="J41" s="1" t="s">
        <v>92</v>
      </c>
    </row>
    <row r="42" spans="1:10">
      <c r="A42" s="2" t="s">
        <v>97</v>
      </c>
      <c r="B42" s="10">
        <v>46207</v>
      </c>
      <c r="C42" s="1" t="s">
        <v>98</v>
      </c>
      <c r="D42" s="1" t="s">
        <v>32</v>
      </c>
      <c r="E42" s="1" t="s">
        <v>24</v>
      </c>
      <c r="F42" s="1" t="s">
        <v>80</v>
      </c>
      <c r="G42" s="1">
        <v>2</v>
      </c>
      <c r="H42" s="1">
        <v>30000</v>
      </c>
      <c r="I42" s="1">
        <v>4003.16</v>
      </c>
      <c r="J42" s="1" t="s">
        <v>92</v>
      </c>
    </row>
    <row r="43" spans="1:10">
      <c r="A43" s="2" t="s">
        <v>99</v>
      </c>
      <c r="B43" s="10">
        <v>46208</v>
      </c>
      <c r="C43" s="1" t="s">
        <v>43</v>
      </c>
      <c r="D43" s="1" t="s">
        <v>23</v>
      </c>
      <c r="E43" s="1" t="s">
        <v>36</v>
      </c>
      <c r="F43" s="1" t="s">
        <v>60</v>
      </c>
      <c r="G43" s="1">
        <v>2</v>
      </c>
      <c r="H43" s="1">
        <v>19000</v>
      </c>
      <c r="I43" s="1">
        <v>3859.37</v>
      </c>
      <c r="J43" s="1" t="s">
        <v>92</v>
      </c>
    </row>
    <row r="44" spans="1:10">
      <c r="A44" s="2" t="s">
        <v>100</v>
      </c>
      <c r="B44" s="10">
        <v>46209</v>
      </c>
      <c r="C44" s="1" t="s">
        <v>43</v>
      </c>
      <c r="D44" s="1" t="s">
        <v>40</v>
      </c>
      <c r="E44" s="1" t="s">
        <v>24</v>
      </c>
      <c r="F44" s="1" t="s">
        <v>95</v>
      </c>
      <c r="G44" s="1">
        <v>3</v>
      </c>
      <c r="H44" s="1">
        <v>15000</v>
      </c>
      <c r="I44" s="1">
        <v>3477.12</v>
      </c>
      <c r="J44" s="1" t="s">
        <v>92</v>
      </c>
    </row>
    <row r="45" spans="1:10">
      <c r="A45" s="2" t="s">
        <v>101</v>
      </c>
      <c r="B45" s="10">
        <v>46210</v>
      </c>
      <c r="C45" s="1" t="s">
        <v>31</v>
      </c>
      <c r="D45" s="1" t="s">
        <v>56</v>
      </c>
      <c r="E45" s="1" t="s">
        <v>36</v>
      </c>
      <c r="F45" s="1" t="s">
        <v>76</v>
      </c>
      <c r="G45" s="1">
        <v>3</v>
      </c>
      <c r="H45" s="1">
        <v>25500</v>
      </c>
      <c r="I45" s="1">
        <v>3363.3</v>
      </c>
      <c r="J45" s="1" t="s">
        <v>92</v>
      </c>
    </row>
    <row r="46" spans="1:10">
      <c r="A46" s="2" t="s">
        <v>102</v>
      </c>
      <c r="B46" s="10">
        <v>46211</v>
      </c>
      <c r="C46" s="1" t="s">
        <v>43</v>
      </c>
      <c r="D46" s="1" t="s">
        <v>23</v>
      </c>
      <c r="E46" s="1" t="s">
        <v>36</v>
      </c>
      <c r="F46" s="1" t="s">
        <v>76</v>
      </c>
      <c r="G46" s="1">
        <v>2</v>
      </c>
      <c r="H46" s="1">
        <v>17000</v>
      </c>
      <c r="I46" s="1">
        <v>3326.57</v>
      </c>
      <c r="J46" s="1" t="s">
        <v>92</v>
      </c>
    </row>
    <row r="47" spans="1:10">
      <c r="A47" s="2" t="s">
        <v>103</v>
      </c>
      <c r="B47" s="10">
        <v>46212</v>
      </c>
      <c r="C47" s="1" t="s">
        <v>55</v>
      </c>
      <c r="D47" s="1" t="s">
        <v>40</v>
      </c>
      <c r="E47" s="1" t="s">
        <v>36</v>
      </c>
      <c r="F47" s="1" t="s">
        <v>76</v>
      </c>
      <c r="G47" s="1">
        <v>3</v>
      </c>
      <c r="H47" s="1">
        <v>25500</v>
      </c>
      <c r="I47" s="1">
        <v>3236.36</v>
      </c>
      <c r="J47" s="1" t="s">
        <v>92</v>
      </c>
    </row>
    <row r="48" spans="1:10">
      <c r="A48" s="2" t="s">
        <v>104</v>
      </c>
      <c r="B48" s="10">
        <v>46213</v>
      </c>
      <c r="C48" s="1" t="s">
        <v>53</v>
      </c>
      <c r="D48" s="1" t="s">
        <v>56</v>
      </c>
      <c r="E48" s="1" t="s">
        <v>24</v>
      </c>
      <c r="F48" s="1" t="s">
        <v>80</v>
      </c>
      <c r="G48" s="1">
        <v>1</v>
      </c>
      <c r="H48" s="1">
        <v>15000</v>
      </c>
      <c r="I48" s="1">
        <v>2982.71</v>
      </c>
      <c r="J48" s="1" t="s">
        <v>92</v>
      </c>
    </row>
    <row r="49" spans="1:10">
      <c r="A49" s="2" t="s">
        <v>105</v>
      </c>
      <c r="B49" s="10">
        <v>46214</v>
      </c>
      <c r="C49" s="1" t="s">
        <v>106</v>
      </c>
      <c r="D49" s="1" t="s">
        <v>23</v>
      </c>
      <c r="E49" s="1" t="s">
        <v>36</v>
      </c>
      <c r="F49" s="1" t="s">
        <v>47</v>
      </c>
      <c r="G49" s="1">
        <v>1</v>
      </c>
      <c r="H49" s="1">
        <v>22000</v>
      </c>
      <c r="I49" s="1">
        <v>2963.87</v>
      </c>
      <c r="J49" s="1" t="s">
        <v>92</v>
      </c>
    </row>
    <row r="50" spans="1:10">
      <c r="A50" s="2" t="s">
        <v>107</v>
      </c>
      <c r="B50" s="10">
        <v>46215</v>
      </c>
      <c r="C50" s="1" t="s">
        <v>34</v>
      </c>
      <c r="D50" s="1" t="s">
        <v>23</v>
      </c>
      <c r="E50" s="1" t="s">
        <v>24</v>
      </c>
      <c r="F50" s="1" t="s">
        <v>95</v>
      </c>
      <c r="G50" s="1">
        <v>3</v>
      </c>
      <c r="H50" s="1">
        <v>15000</v>
      </c>
      <c r="I50" s="1">
        <v>2796.56</v>
      </c>
      <c r="J50" s="1" t="s">
        <v>92</v>
      </c>
    </row>
    <row r="51" spans="1:10">
      <c r="A51" s="2" t="s">
        <v>108</v>
      </c>
      <c r="B51" s="10">
        <v>46216</v>
      </c>
      <c r="C51" s="1" t="s">
        <v>109</v>
      </c>
      <c r="D51" s="1" t="s">
        <v>32</v>
      </c>
      <c r="E51" s="1" t="s">
        <v>24</v>
      </c>
      <c r="F51" s="1" t="s">
        <v>95</v>
      </c>
      <c r="G51" s="1">
        <v>3</v>
      </c>
      <c r="H51" s="1">
        <v>15000</v>
      </c>
      <c r="I51" s="1">
        <v>2795.54</v>
      </c>
      <c r="J51" s="1" t="s">
        <v>92</v>
      </c>
    </row>
    <row r="52" spans="1:10">
      <c r="A52" s="2" t="s">
        <v>110</v>
      </c>
      <c r="B52" s="10">
        <v>46217</v>
      </c>
      <c r="C52" s="1" t="s">
        <v>94</v>
      </c>
      <c r="D52" s="1" t="s">
        <v>23</v>
      </c>
      <c r="E52" s="1" t="s">
        <v>36</v>
      </c>
      <c r="F52" s="1" t="s">
        <v>47</v>
      </c>
      <c r="G52" s="1">
        <v>1</v>
      </c>
      <c r="H52" s="1">
        <v>22000</v>
      </c>
      <c r="I52" s="1">
        <v>2743.3</v>
      </c>
      <c r="J52" s="1" t="s">
        <v>92</v>
      </c>
    </row>
    <row r="53" spans="1:10">
      <c r="A53" s="2" t="s">
        <v>111</v>
      </c>
      <c r="B53" s="10">
        <v>46218</v>
      </c>
      <c r="C53" s="1" t="s">
        <v>67</v>
      </c>
      <c r="D53" s="1" t="s">
        <v>40</v>
      </c>
      <c r="E53" s="1" t="s">
        <v>36</v>
      </c>
      <c r="F53" s="1" t="s">
        <v>76</v>
      </c>
      <c r="G53" s="1">
        <v>2</v>
      </c>
      <c r="H53" s="1">
        <v>17000</v>
      </c>
      <c r="I53" s="1">
        <v>2116.6799999999998</v>
      </c>
      <c r="J53" s="1" t="s">
        <v>92</v>
      </c>
    </row>
    <row r="54" spans="1:10">
      <c r="A54" s="2" t="s">
        <v>112</v>
      </c>
      <c r="B54" s="10">
        <v>46219</v>
      </c>
      <c r="C54" s="1" t="s">
        <v>98</v>
      </c>
      <c r="D54" s="1" t="s">
        <v>23</v>
      </c>
      <c r="E54" s="1" t="s">
        <v>24</v>
      </c>
      <c r="F54" s="1" t="s">
        <v>80</v>
      </c>
      <c r="G54" s="1">
        <v>1</v>
      </c>
      <c r="H54" s="1">
        <v>15000</v>
      </c>
      <c r="I54" s="1">
        <v>1841.39</v>
      </c>
      <c r="J54" s="1" t="s">
        <v>92</v>
      </c>
    </row>
    <row r="55" spans="1:10">
      <c r="A55" s="2" t="s">
        <v>113</v>
      </c>
      <c r="B55" s="10">
        <v>46220</v>
      </c>
      <c r="C55" s="1" t="s">
        <v>83</v>
      </c>
      <c r="D55" s="1" t="s">
        <v>23</v>
      </c>
      <c r="E55" s="1" t="s">
        <v>114</v>
      </c>
      <c r="F55" s="1" t="s">
        <v>115</v>
      </c>
      <c r="G55" s="1">
        <v>5</v>
      </c>
      <c r="H55" s="1">
        <v>75000</v>
      </c>
      <c r="I55" s="1">
        <v>1731.49</v>
      </c>
      <c r="J55" s="1" t="s">
        <v>92</v>
      </c>
    </row>
    <row r="56" spans="1:10">
      <c r="A56" s="2" t="s">
        <v>116</v>
      </c>
      <c r="B56" s="10">
        <v>46221</v>
      </c>
      <c r="C56" s="1" t="s">
        <v>98</v>
      </c>
      <c r="D56" s="1" t="s">
        <v>40</v>
      </c>
      <c r="E56" s="1" t="s">
        <v>24</v>
      </c>
      <c r="F56" s="1" t="s">
        <v>80</v>
      </c>
      <c r="G56" s="1">
        <v>1</v>
      </c>
      <c r="H56" s="1">
        <v>15000</v>
      </c>
      <c r="I56" s="1">
        <v>1709.37</v>
      </c>
      <c r="J56" s="1" t="s">
        <v>92</v>
      </c>
    </row>
    <row r="57" spans="1:10">
      <c r="A57" s="2" t="s">
        <v>117</v>
      </c>
      <c r="B57" s="10">
        <v>46222</v>
      </c>
      <c r="C57" s="1" t="s">
        <v>51</v>
      </c>
      <c r="D57" s="1" t="s">
        <v>23</v>
      </c>
      <c r="E57" s="1" t="s">
        <v>24</v>
      </c>
      <c r="F57" s="1" t="s">
        <v>95</v>
      </c>
      <c r="G57" s="1">
        <v>2</v>
      </c>
      <c r="H57" s="1">
        <v>10000</v>
      </c>
      <c r="I57" s="1">
        <v>1605.66</v>
      </c>
      <c r="J57" s="1" t="s">
        <v>92</v>
      </c>
    </row>
    <row r="58" spans="1:10">
      <c r="A58" s="2" t="s">
        <v>118</v>
      </c>
      <c r="B58" s="10">
        <v>46223</v>
      </c>
      <c r="C58" s="1" t="s">
        <v>119</v>
      </c>
      <c r="D58" s="1" t="s">
        <v>40</v>
      </c>
      <c r="E58" s="1" t="s">
        <v>114</v>
      </c>
      <c r="F58" s="1" t="s">
        <v>115</v>
      </c>
      <c r="G58" s="1">
        <v>4</v>
      </c>
      <c r="H58" s="1">
        <v>6000</v>
      </c>
      <c r="I58" s="1">
        <v>1261.08</v>
      </c>
      <c r="J58" s="1" t="s">
        <v>92</v>
      </c>
    </row>
    <row r="59" spans="1:10">
      <c r="A59" s="2" t="s">
        <v>120</v>
      </c>
      <c r="B59" s="10">
        <v>46224</v>
      </c>
      <c r="C59" s="1" t="s">
        <v>98</v>
      </c>
      <c r="D59" s="1" t="s">
        <v>40</v>
      </c>
      <c r="E59" s="1" t="s">
        <v>114</v>
      </c>
      <c r="F59" s="1" t="s">
        <v>115</v>
      </c>
      <c r="G59" s="1">
        <v>5</v>
      </c>
      <c r="H59" s="1">
        <v>7500</v>
      </c>
      <c r="I59" s="1">
        <v>1240.3699999999999</v>
      </c>
      <c r="J59" s="1" t="s">
        <v>92</v>
      </c>
    </row>
    <row r="60" spans="1:10">
      <c r="A60" s="2" t="s">
        <v>121</v>
      </c>
      <c r="B60" s="10">
        <v>46225</v>
      </c>
      <c r="C60" s="1" t="s">
        <v>49</v>
      </c>
      <c r="D60" s="1" t="s">
        <v>32</v>
      </c>
      <c r="E60" s="1" t="s">
        <v>24</v>
      </c>
      <c r="F60" s="1" t="s">
        <v>95</v>
      </c>
      <c r="G60" s="1">
        <v>1</v>
      </c>
      <c r="H60" s="1">
        <v>5000</v>
      </c>
      <c r="I60" s="1">
        <v>1022.89</v>
      </c>
      <c r="J60" s="1" t="s">
        <v>92</v>
      </c>
    </row>
    <row r="61" spans="1:10">
      <c r="A61" s="2" t="s">
        <v>122</v>
      </c>
      <c r="B61" s="10">
        <v>46226</v>
      </c>
      <c r="C61" s="1" t="s">
        <v>123</v>
      </c>
      <c r="D61" s="1" t="s">
        <v>23</v>
      </c>
      <c r="E61" s="1" t="s">
        <v>114</v>
      </c>
      <c r="F61" s="1" t="s">
        <v>115</v>
      </c>
      <c r="G61" s="1">
        <v>3</v>
      </c>
      <c r="H61" s="1">
        <v>4500</v>
      </c>
      <c r="I61" s="1">
        <v>958.6</v>
      </c>
      <c r="J61" s="1" t="s">
        <v>92</v>
      </c>
    </row>
    <row r="62" spans="1:10">
      <c r="A62" s="2" t="s">
        <v>124</v>
      </c>
      <c r="B62" s="10">
        <v>46227</v>
      </c>
      <c r="C62" s="1" t="s">
        <v>73</v>
      </c>
      <c r="D62" s="1" t="s">
        <v>56</v>
      </c>
      <c r="E62" s="1" t="s">
        <v>36</v>
      </c>
      <c r="F62" s="1" t="s">
        <v>76</v>
      </c>
      <c r="G62" s="1">
        <v>1</v>
      </c>
      <c r="H62" s="1">
        <v>8500</v>
      </c>
      <c r="I62" s="1">
        <v>927.28</v>
      </c>
      <c r="J62" s="1" t="s">
        <v>92</v>
      </c>
    </row>
    <row r="63" spans="1:10">
      <c r="A63" s="2" t="s">
        <v>125</v>
      </c>
      <c r="B63" s="10">
        <v>46228</v>
      </c>
      <c r="C63" s="1" t="s">
        <v>55</v>
      </c>
      <c r="D63" s="1" t="s">
        <v>40</v>
      </c>
      <c r="E63" s="1" t="s">
        <v>114</v>
      </c>
      <c r="F63" s="1" t="s">
        <v>126</v>
      </c>
      <c r="G63" s="1">
        <v>5</v>
      </c>
      <c r="H63" s="1">
        <v>4000</v>
      </c>
      <c r="I63" s="1">
        <v>889</v>
      </c>
      <c r="J63" s="1" t="s">
        <v>92</v>
      </c>
    </row>
    <row r="64" spans="1:10">
      <c r="A64" s="2" t="s">
        <v>127</v>
      </c>
      <c r="B64" s="10">
        <v>46229</v>
      </c>
      <c r="C64" s="1" t="s">
        <v>73</v>
      </c>
      <c r="D64" s="1" t="s">
        <v>32</v>
      </c>
      <c r="E64" s="1" t="s">
        <v>24</v>
      </c>
      <c r="F64" s="1" t="s">
        <v>95</v>
      </c>
      <c r="G64" s="1">
        <v>1</v>
      </c>
      <c r="H64" s="1">
        <v>5000</v>
      </c>
      <c r="I64" s="1">
        <v>842.35</v>
      </c>
      <c r="J64" s="1" t="s">
        <v>92</v>
      </c>
    </row>
    <row r="65" spans="1:10">
      <c r="A65" s="2" t="s">
        <v>128</v>
      </c>
      <c r="B65" s="10">
        <v>46230</v>
      </c>
      <c r="C65" s="1" t="s">
        <v>109</v>
      </c>
      <c r="D65" s="1" t="s">
        <v>40</v>
      </c>
      <c r="E65" s="1" t="s">
        <v>114</v>
      </c>
      <c r="F65" s="1" t="s">
        <v>126</v>
      </c>
      <c r="G65" s="1">
        <v>4</v>
      </c>
      <c r="H65" s="1">
        <v>3200</v>
      </c>
      <c r="I65" s="1">
        <v>543.14</v>
      </c>
      <c r="J65" s="1" t="s">
        <v>92</v>
      </c>
    </row>
    <row r="66" spans="1:10">
      <c r="A66" s="2" t="s">
        <v>129</v>
      </c>
      <c r="B66" s="10">
        <v>46231</v>
      </c>
      <c r="C66" s="1" t="s">
        <v>22</v>
      </c>
      <c r="D66" s="1" t="s">
        <v>40</v>
      </c>
      <c r="E66" s="1" t="s">
        <v>114</v>
      </c>
      <c r="F66" s="1" t="s">
        <v>130</v>
      </c>
      <c r="G66" s="1">
        <v>4</v>
      </c>
      <c r="H66" s="1">
        <v>2400</v>
      </c>
      <c r="I66" s="1">
        <v>487.92</v>
      </c>
      <c r="J66" s="1" t="s">
        <v>92</v>
      </c>
    </row>
    <row r="67" spans="1:10">
      <c r="A67" s="2" t="s">
        <v>131</v>
      </c>
      <c r="B67" s="10">
        <v>46232</v>
      </c>
      <c r="C67" s="1" t="s">
        <v>132</v>
      </c>
      <c r="D67" s="1" t="s">
        <v>32</v>
      </c>
      <c r="E67" s="1" t="s">
        <v>114</v>
      </c>
      <c r="F67" s="1" t="s">
        <v>133</v>
      </c>
      <c r="G67" s="1">
        <v>5</v>
      </c>
      <c r="H67" s="1">
        <v>1750</v>
      </c>
      <c r="I67" s="1">
        <v>407.09</v>
      </c>
      <c r="J67" s="1" t="s">
        <v>92</v>
      </c>
    </row>
    <row r="68" spans="1:10">
      <c r="A68" s="2" t="s">
        <v>134</v>
      </c>
      <c r="B68" s="10">
        <v>46233</v>
      </c>
      <c r="C68" s="1" t="s">
        <v>119</v>
      </c>
      <c r="D68" s="1" t="s">
        <v>32</v>
      </c>
      <c r="E68" s="1" t="s">
        <v>114</v>
      </c>
      <c r="F68" s="1" t="s">
        <v>126</v>
      </c>
      <c r="G68" s="1">
        <v>3</v>
      </c>
      <c r="H68" s="1">
        <v>2400</v>
      </c>
      <c r="I68" s="1">
        <v>404.6</v>
      </c>
      <c r="J68" s="1" t="s">
        <v>92</v>
      </c>
    </row>
    <row r="69" spans="1:10">
      <c r="A69" s="2" t="s">
        <v>135</v>
      </c>
      <c r="B69" s="10">
        <v>46234</v>
      </c>
      <c r="C69" s="1" t="s">
        <v>70</v>
      </c>
      <c r="D69" s="1" t="s">
        <v>23</v>
      </c>
      <c r="E69" s="1" t="s">
        <v>114</v>
      </c>
      <c r="F69" s="1" t="s">
        <v>126</v>
      </c>
      <c r="G69" s="1">
        <v>2</v>
      </c>
      <c r="H69" s="1">
        <v>1600</v>
      </c>
      <c r="I69" s="1">
        <v>391.72</v>
      </c>
      <c r="J69" s="1" t="s">
        <v>92</v>
      </c>
    </row>
    <row r="70" spans="1:10">
      <c r="A70" s="2" t="s">
        <v>136</v>
      </c>
      <c r="B70" s="10">
        <v>46235</v>
      </c>
      <c r="C70" s="1" t="s">
        <v>58</v>
      </c>
      <c r="D70" s="1" t="s">
        <v>23</v>
      </c>
      <c r="E70" s="1" t="s">
        <v>114</v>
      </c>
      <c r="F70" s="1" t="s">
        <v>133</v>
      </c>
      <c r="G70" s="1">
        <v>5</v>
      </c>
      <c r="H70" s="1">
        <v>1750</v>
      </c>
      <c r="I70" s="1">
        <v>348.56</v>
      </c>
      <c r="J70" s="1" t="s">
        <v>137</v>
      </c>
    </row>
    <row r="71" spans="1:10">
      <c r="A71" s="2" t="s">
        <v>138</v>
      </c>
      <c r="B71" s="10">
        <v>46236</v>
      </c>
      <c r="C71" s="1" t="s">
        <v>86</v>
      </c>
      <c r="D71" s="1" t="s">
        <v>23</v>
      </c>
      <c r="E71" s="1" t="s">
        <v>114</v>
      </c>
      <c r="F71" s="1" t="s">
        <v>115</v>
      </c>
      <c r="G71" s="1">
        <v>2</v>
      </c>
      <c r="H71" s="1">
        <v>3000</v>
      </c>
      <c r="I71" s="1">
        <v>325.60000000000002</v>
      </c>
      <c r="J71" s="1" t="s">
        <v>137</v>
      </c>
    </row>
    <row r="72" spans="1:10">
      <c r="A72" s="2" t="s">
        <v>139</v>
      </c>
      <c r="B72" s="10">
        <v>46237</v>
      </c>
      <c r="C72" s="1" t="s">
        <v>31</v>
      </c>
      <c r="D72" s="1" t="s">
        <v>32</v>
      </c>
      <c r="E72" s="1" t="s">
        <v>114</v>
      </c>
      <c r="F72" s="1" t="s">
        <v>115</v>
      </c>
      <c r="G72" s="1">
        <v>1</v>
      </c>
      <c r="H72" s="1">
        <v>1500</v>
      </c>
      <c r="I72" s="1">
        <v>312.29000000000002</v>
      </c>
      <c r="J72" s="1" t="s">
        <v>137</v>
      </c>
    </row>
    <row r="73" spans="1:10">
      <c r="A73" s="2" t="s">
        <v>140</v>
      </c>
      <c r="B73" s="10">
        <v>46238</v>
      </c>
      <c r="C73" s="1" t="s">
        <v>49</v>
      </c>
      <c r="D73" s="1" t="s">
        <v>32</v>
      </c>
      <c r="E73" s="1" t="s">
        <v>114</v>
      </c>
      <c r="F73" s="1" t="s">
        <v>133</v>
      </c>
      <c r="G73" s="1">
        <v>4</v>
      </c>
      <c r="H73" s="1">
        <v>1400</v>
      </c>
      <c r="I73" s="1">
        <v>282.24</v>
      </c>
      <c r="J73" s="1" t="s">
        <v>137</v>
      </c>
    </row>
    <row r="74" spans="1:10">
      <c r="A74" s="2" t="s">
        <v>141</v>
      </c>
      <c r="B74" s="10">
        <v>46239</v>
      </c>
      <c r="C74" s="1" t="s">
        <v>51</v>
      </c>
      <c r="D74" s="1" t="s">
        <v>56</v>
      </c>
      <c r="E74" s="1" t="s">
        <v>114</v>
      </c>
      <c r="F74" s="1" t="s">
        <v>142</v>
      </c>
      <c r="G74" s="1">
        <v>5</v>
      </c>
      <c r="H74" s="1">
        <v>1250</v>
      </c>
      <c r="I74" s="1">
        <v>281.76</v>
      </c>
      <c r="J74" s="1" t="s">
        <v>137</v>
      </c>
    </row>
    <row r="75" spans="1:10">
      <c r="A75" s="2" t="s">
        <v>143</v>
      </c>
      <c r="B75" s="10">
        <v>46240</v>
      </c>
      <c r="C75" s="1" t="s">
        <v>55</v>
      </c>
      <c r="D75" s="1" t="s">
        <v>32</v>
      </c>
      <c r="E75" s="1" t="s">
        <v>114</v>
      </c>
      <c r="F75" s="1" t="s">
        <v>142</v>
      </c>
      <c r="G75" s="1">
        <v>5</v>
      </c>
      <c r="H75" s="1">
        <v>1250</v>
      </c>
      <c r="I75" s="1">
        <v>265.79000000000002</v>
      </c>
      <c r="J75" s="1" t="s">
        <v>137</v>
      </c>
    </row>
    <row r="76" spans="1:10">
      <c r="A76" s="2" t="s">
        <v>144</v>
      </c>
      <c r="B76" s="10">
        <v>46241</v>
      </c>
      <c r="C76" s="1" t="s">
        <v>51</v>
      </c>
      <c r="D76" s="1" t="s">
        <v>32</v>
      </c>
      <c r="E76" s="1" t="s">
        <v>114</v>
      </c>
      <c r="F76" s="1" t="s">
        <v>130</v>
      </c>
      <c r="G76" s="1">
        <v>2</v>
      </c>
      <c r="H76" s="1">
        <v>1200</v>
      </c>
      <c r="I76" s="1">
        <v>241.1</v>
      </c>
      <c r="J76" s="1" t="s">
        <v>137</v>
      </c>
    </row>
    <row r="77" spans="1:10">
      <c r="A77" s="2" t="s">
        <v>145</v>
      </c>
      <c r="B77" s="10">
        <v>46242</v>
      </c>
      <c r="C77" s="1" t="s">
        <v>98</v>
      </c>
      <c r="D77" s="1" t="s">
        <v>23</v>
      </c>
      <c r="E77" s="1" t="s">
        <v>114</v>
      </c>
      <c r="F77" s="1" t="s">
        <v>130</v>
      </c>
      <c r="G77" s="1">
        <v>3</v>
      </c>
      <c r="H77" s="1">
        <v>1800</v>
      </c>
      <c r="I77" s="1">
        <v>240.54</v>
      </c>
      <c r="J77" s="1" t="s">
        <v>137</v>
      </c>
    </row>
    <row r="78" spans="1:10">
      <c r="A78" s="2" t="s">
        <v>146</v>
      </c>
      <c r="B78" s="10">
        <v>46243</v>
      </c>
      <c r="C78" s="1" t="s">
        <v>94</v>
      </c>
      <c r="D78" s="1" t="s">
        <v>40</v>
      </c>
      <c r="E78" s="1" t="s">
        <v>114</v>
      </c>
      <c r="F78" s="1" t="s">
        <v>142</v>
      </c>
      <c r="G78" s="1">
        <v>5</v>
      </c>
      <c r="H78" s="1">
        <v>1250</v>
      </c>
      <c r="I78" s="1">
        <v>230.98</v>
      </c>
      <c r="J78" s="1" t="s">
        <v>137</v>
      </c>
    </row>
    <row r="79" spans="1:10">
      <c r="A79" s="2" t="s">
        <v>147</v>
      </c>
      <c r="B79" s="10">
        <v>46244</v>
      </c>
      <c r="C79" s="1" t="s">
        <v>34</v>
      </c>
      <c r="D79" s="1" t="s">
        <v>40</v>
      </c>
      <c r="E79" s="1" t="s">
        <v>114</v>
      </c>
      <c r="F79" s="1" t="s">
        <v>126</v>
      </c>
      <c r="G79" s="1">
        <v>2</v>
      </c>
      <c r="H79" s="1">
        <v>1600</v>
      </c>
      <c r="I79" s="1">
        <v>223.47</v>
      </c>
      <c r="J79" s="1" t="s">
        <v>137</v>
      </c>
    </row>
    <row r="80" spans="1:10">
      <c r="A80" s="2" t="s">
        <v>148</v>
      </c>
      <c r="B80" s="10">
        <v>46245</v>
      </c>
      <c r="C80" s="1" t="s">
        <v>34</v>
      </c>
      <c r="D80" s="1" t="s">
        <v>56</v>
      </c>
      <c r="E80" s="1" t="s">
        <v>114</v>
      </c>
      <c r="F80" s="1" t="s">
        <v>130</v>
      </c>
      <c r="G80" s="1">
        <v>2</v>
      </c>
      <c r="H80" s="1">
        <v>1200</v>
      </c>
      <c r="I80" s="1">
        <v>211.06</v>
      </c>
      <c r="J80" s="1" t="s">
        <v>137</v>
      </c>
    </row>
    <row r="81" spans="1:10">
      <c r="A81" s="2" t="s">
        <v>149</v>
      </c>
      <c r="B81" s="10">
        <v>46246</v>
      </c>
      <c r="C81" s="1" t="s">
        <v>70</v>
      </c>
      <c r="D81" s="1" t="s">
        <v>40</v>
      </c>
      <c r="E81" s="1" t="s">
        <v>114</v>
      </c>
      <c r="F81" s="1" t="s">
        <v>133</v>
      </c>
      <c r="G81" s="1">
        <v>4</v>
      </c>
      <c r="H81" s="1">
        <v>1400</v>
      </c>
      <c r="I81" s="1">
        <v>198.06</v>
      </c>
      <c r="J81" s="1" t="s">
        <v>137</v>
      </c>
    </row>
    <row r="82" spans="1:10">
      <c r="A82" s="2" t="s">
        <v>150</v>
      </c>
      <c r="B82" s="10">
        <v>46247</v>
      </c>
      <c r="C82" s="1" t="s">
        <v>55</v>
      </c>
      <c r="D82" s="1" t="s">
        <v>23</v>
      </c>
      <c r="E82" s="1" t="s">
        <v>114</v>
      </c>
      <c r="F82" s="1" t="s">
        <v>126</v>
      </c>
      <c r="G82" s="1">
        <v>2</v>
      </c>
      <c r="H82" s="1">
        <v>1600</v>
      </c>
      <c r="I82" s="1">
        <v>196.68</v>
      </c>
      <c r="J82" s="1" t="s">
        <v>137</v>
      </c>
    </row>
    <row r="83" spans="1:10">
      <c r="A83" s="2" t="s">
        <v>151</v>
      </c>
      <c r="B83" s="10">
        <v>46248</v>
      </c>
      <c r="C83" s="1" t="s">
        <v>73</v>
      </c>
      <c r="D83" s="1" t="s">
        <v>23</v>
      </c>
      <c r="E83" s="1" t="s">
        <v>114</v>
      </c>
      <c r="F83" s="1" t="s">
        <v>130</v>
      </c>
      <c r="G83" s="1">
        <v>2</v>
      </c>
      <c r="H83" s="1">
        <v>1200</v>
      </c>
      <c r="I83" s="1">
        <v>185.56</v>
      </c>
      <c r="J83" s="1" t="s">
        <v>137</v>
      </c>
    </row>
    <row r="84" spans="1:10">
      <c r="A84" s="2" t="s">
        <v>152</v>
      </c>
      <c r="B84" s="10">
        <v>46249</v>
      </c>
      <c r="C84" s="1" t="s">
        <v>31</v>
      </c>
      <c r="D84" s="1" t="s">
        <v>32</v>
      </c>
      <c r="E84" s="1" t="s">
        <v>114</v>
      </c>
      <c r="F84" s="1" t="s">
        <v>126</v>
      </c>
      <c r="G84" s="1">
        <v>2</v>
      </c>
      <c r="H84" s="1">
        <v>1600</v>
      </c>
      <c r="I84" s="1">
        <v>180.55</v>
      </c>
      <c r="J84" s="1" t="s">
        <v>137</v>
      </c>
    </row>
    <row r="85" spans="1:10">
      <c r="A85" s="2" t="s">
        <v>153</v>
      </c>
      <c r="B85" s="10">
        <v>46250</v>
      </c>
      <c r="C85" s="1" t="s">
        <v>67</v>
      </c>
      <c r="D85" s="1" t="s">
        <v>40</v>
      </c>
      <c r="E85" s="1" t="s">
        <v>114</v>
      </c>
      <c r="F85" s="1" t="s">
        <v>133</v>
      </c>
      <c r="G85" s="1">
        <v>3</v>
      </c>
      <c r="H85" s="1">
        <v>1050</v>
      </c>
      <c r="I85" s="1">
        <v>174</v>
      </c>
      <c r="J85" s="1" t="s">
        <v>137</v>
      </c>
    </row>
    <row r="86" spans="1:10">
      <c r="A86" s="2" t="s">
        <v>154</v>
      </c>
      <c r="B86" s="10">
        <v>46251</v>
      </c>
      <c r="C86" s="1" t="s">
        <v>43</v>
      </c>
      <c r="D86" s="1" t="s">
        <v>40</v>
      </c>
      <c r="E86" s="1" t="s">
        <v>114</v>
      </c>
      <c r="F86" s="1" t="s">
        <v>133</v>
      </c>
      <c r="G86" s="1">
        <v>4</v>
      </c>
      <c r="H86" s="1">
        <v>1400</v>
      </c>
      <c r="I86" s="1">
        <v>146.1</v>
      </c>
      <c r="J86" s="1" t="s">
        <v>137</v>
      </c>
    </row>
    <row r="87" spans="1:10">
      <c r="A87" s="2" t="s">
        <v>155</v>
      </c>
      <c r="B87" s="10">
        <v>46252</v>
      </c>
      <c r="C87" s="1" t="s">
        <v>55</v>
      </c>
      <c r="D87" s="1" t="s">
        <v>56</v>
      </c>
      <c r="E87" s="1" t="s">
        <v>114</v>
      </c>
      <c r="F87" s="1" t="s">
        <v>133</v>
      </c>
      <c r="G87" s="1">
        <v>3</v>
      </c>
      <c r="H87" s="1">
        <v>1050</v>
      </c>
      <c r="I87" s="1">
        <v>141.93</v>
      </c>
      <c r="J87" s="1" t="s">
        <v>137</v>
      </c>
    </row>
    <row r="88" spans="1:10">
      <c r="A88" s="2" t="s">
        <v>156</v>
      </c>
      <c r="B88" s="10">
        <v>46253</v>
      </c>
      <c r="C88" s="1" t="s">
        <v>70</v>
      </c>
      <c r="D88" s="1" t="s">
        <v>56</v>
      </c>
      <c r="E88" s="1" t="s">
        <v>114</v>
      </c>
      <c r="F88" s="1" t="s">
        <v>142</v>
      </c>
      <c r="G88" s="1">
        <v>4</v>
      </c>
      <c r="H88" s="1">
        <v>1000</v>
      </c>
      <c r="I88" s="1">
        <v>108.13</v>
      </c>
      <c r="J88" s="1" t="s">
        <v>137</v>
      </c>
    </row>
    <row r="89" spans="1:10">
      <c r="A89" s="2" t="s">
        <v>157</v>
      </c>
      <c r="B89" s="10">
        <v>46254</v>
      </c>
      <c r="C89" s="1" t="s">
        <v>46</v>
      </c>
      <c r="D89" s="1" t="s">
        <v>23</v>
      </c>
      <c r="E89" s="1" t="s">
        <v>114</v>
      </c>
      <c r="F89" s="1" t="s">
        <v>142</v>
      </c>
      <c r="G89" s="1">
        <v>3</v>
      </c>
      <c r="H89" s="1">
        <v>750</v>
      </c>
      <c r="I89" s="1">
        <v>82.76</v>
      </c>
      <c r="J89" s="1" t="s">
        <v>137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32353-387D-416E-9FA7-EB328DAF647C}">
  <dimension ref="A3:B7"/>
  <sheetViews>
    <sheetView topLeftCell="A3" workbookViewId="0">
      <selection activeCell="B6" sqref="B6"/>
    </sheetView>
  </sheetViews>
  <sheetFormatPr defaultRowHeight="15"/>
  <cols>
    <col min="1" max="1" width="14.140625" bestFit="1" customWidth="1"/>
    <col min="2" max="2" width="13.85546875" bestFit="1" customWidth="1"/>
    <col min="3" max="4" width="13.42578125" bestFit="1" customWidth="1"/>
    <col min="5" max="5" width="11.7109375" bestFit="1" customWidth="1"/>
    <col min="6" max="6" width="13.42578125" bestFit="1" customWidth="1"/>
  </cols>
  <sheetData>
    <row r="3" spans="1:2">
      <c r="A3" s="4" t="s">
        <v>15</v>
      </c>
      <c r="B3" t="s">
        <v>158</v>
      </c>
    </row>
    <row r="4" spans="1:2">
      <c r="A4" t="s">
        <v>24</v>
      </c>
      <c r="B4" s="3">
        <v>1905000</v>
      </c>
    </row>
    <row r="5" spans="1:2">
      <c r="A5" t="s">
        <v>36</v>
      </c>
      <c r="B5" s="3">
        <v>1420500</v>
      </c>
    </row>
    <row r="6" spans="1:2">
      <c r="A6" t="s">
        <v>114</v>
      </c>
      <c r="B6" s="3">
        <v>136600</v>
      </c>
    </row>
    <row r="7" spans="1:2">
      <c r="A7" t="s">
        <v>159</v>
      </c>
      <c r="B7" s="3">
        <v>3462100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7DE97-8DCD-4336-955B-758B46C1822F}">
  <dimension ref="A3:B8"/>
  <sheetViews>
    <sheetView workbookViewId="0">
      <selection activeCell="B5" sqref="B5"/>
    </sheetView>
  </sheetViews>
  <sheetFormatPr defaultRowHeight="15"/>
  <cols>
    <col min="1" max="1" width="11.7109375" bestFit="1" customWidth="1"/>
    <col min="2" max="4" width="13.85546875" bestFit="1" customWidth="1"/>
    <col min="5" max="5" width="12" bestFit="1" customWidth="1"/>
    <col min="6" max="6" width="13.85546875" bestFit="1" customWidth="1"/>
    <col min="7" max="10" width="11.7109375" bestFit="1" customWidth="1"/>
    <col min="11" max="11" width="14.140625" bestFit="1" customWidth="1"/>
    <col min="12" max="12" width="16" bestFit="1" customWidth="1"/>
    <col min="13" max="15" width="10.7109375" bestFit="1" customWidth="1"/>
    <col min="16" max="16" width="19.140625" bestFit="1" customWidth="1"/>
    <col min="17" max="17" width="13.42578125" bestFit="1" customWidth="1"/>
  </cols>
  <sheetData>
    <row r="3" spans="1:2">
      <c r="A3" s="4" t="s">
        <v>14</v>
      </c>
      <c r="B3" t="s">
        <v>158</v>
      </c>
    </row>
    <row r="4" spans="1:2">
      <c r="A4" t="s">
        <v>23</v>
      </c>
      <c r="B4" s="3">
        <v>1424200</v>
      </c>
    </row>
    <row r="5" spans="1:2">
      <c r="A5" t="s">
        <v>32</v>
      </c>
      <c r="B5" s="3">
        <v>1010100</v>
      </c>
    </row>
    <row r="6" spans="1:2">
      <c r="A6" t="s">
        <v>40</v>
      </c>
      <c r="B6" s="3">
        <v>733300</v>
      </c>
    </row>
    <row r="7" spans="1:2">
      <c r="A7" t="s">
        <v>56</v>
      </c>
      <c r="B7" s="3">
        <v>294500</v>
      </c>
    </row>
    <row r="8" spans="1:2">
      <c r="A8" t="s">
        <v>159</v>
      </c>
      <c r="B8" s="3">
        <v>3462100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12A9F-01A9-40A1-9C12-96C3470A6F26}">
  <dimension ref="A3:B8"/>
  <sheetViews>
    <sheetView workbookViewId="0">
      <selection activeCell="B4" sqref="B4"/>
    </sheetView>
  </sheetViews>
  <sheetFormatPr defaultRowHeight="15"/>
  <cols>
    <col min="1" max="1" width="11.7109375" bestFit="1" customWidth="1"/>
    <col min="2" max="2" width="13.85546875" bestFit="1" customWidth="1"/>
    <col min="3" max="6" width="2" bestFit="1" customWidth="1"/>
    <col min="7" max="7" width="3" bestFit="1" customWidth="1"/>
    <col min="8" max="8" width="11.42578125" bestFit="1" customWidth="1"/>
  </cols>
  <sheetData>
    <row r="3" spans="1:2">
      <c r="A3" s="4" t="s">
        <v>20</v>
      </c>
      <c r="B3" t="s">
        <v>158</v>
      </c>
    </row>
    <row r="4" spans="1:2">
      <c r="A4" t="s">
        <v>44</v>
      </c>
      <c r="B4" s="3">
        <v>1760000</v>
      </c>
    </row>
    <row r="5" spans="1:2">
      <c r="A5" t="s">
        <v>26</v>
      </c>
      <c r="B5" s="3">
        <v>1205000</v>
      </c>
    </row>
    <row r="6" spans="1:2">
      <c r="A6" t="s">
        <v>92</v>
      </c>
      <c r="B6" s="3">
        <v>468850</v>
      </c>
    </row>
    <row r="7" spans="1:2">
      <c r="A7" t="s">
        <v>137</v>
      </c>
      <c r="B7" s="3">
        <v>28250</v>
      </c>
    </row>
    <row r="8" spans="1:2">
      <c r="A8" t="s">
        <v>159</v>
      </c>
      <c r="B8" s="3">
        <v>3462100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950BD4-EF72-4C11-97FB-858867B243EB}">
  <dimension ref="A3:B9"/>
  <sheetViews>
    <sheetView workbookViewId="0">
      <selection activeCell="B7" sqref="B7"/>
    </sheetView>
  </sheetViews>
  <sheetFormatPr defaultRowHeight="15"/>
  <cols>
    <col min="1" max="1" width="18.85546875" bestFit="1" customWidth="1"/>
    <col min="2" max="2" width="13.85546875" bestFit="1" customWidth="1"/>
    <col min="3" max="3" width="12" bestFit="1" customWidth="1"/>
    <col min="4" max="4" width="11.85546875" bestFit="1" customWidth="1"/>
    <col min="5" max="5" width="14.140625" bestFit="1" customWidth="1"/>
    <col min="6" max="6" width="17.85546875" bestFit="1" customWidth="1"/>
    <col min="7" max="7" width="12.42578125" bestFit="1" customWidth="1"/>
    <col min="8" max="8" width="12" bestFit="1" customWidth="1"/>
    <col min="9" max="9" width="18.140625" bestFit="1" customWidth="1"/>
    <col min="10" max="10" width="12" bestFit="1" customWidth="1"/>
    <col min="11" max="11" width="12.42578125" bestFit="1" customWidth="1"/>
    <col min="12" max="12" width="13.42578125" bestFit="1" customWidth="1"/>
    <col min="13" max="13" width="14.42578125" bestFit="1" customWidth="1"/>
    <col min="14" max="14" width="12.28515625" bestFit="1" customWidth="1"/>
    <col min="15" max="15" width="12.85546875" bestFit="1" customWidth="1"/>
    <col min="16" max="16" width="12.5703125" bestFit="1" customWidth="1"/>
    <col min="17" max="17" width="14" bestFit="1" customWidth="1"/>
    <col min="18" max="19" width="12" bestFit="1" customWidth="1"/>
    <col min="20" max="20" width="14.28515625" bestFit="1" customWidth="1"/>
    <col min="21" max="21" width="11" bestFit="1" customWidth="1"/>
    <col min="22" max="22" width="15.140625" bestFit="1" customWidth="1"/>
    <col min="23" max="23" width="14.5703125" bestFit="1" customWidth="1"/>
    <col min="24" max="24" width="16.42578125" bestFit="1" customWidth="1"/>
    <col min="25" max="25" width="13.85546875" bestFit="1" customWidth="1"/>
  </cols>
  <sheetData>
    <row r="3" spans="1:2">
      <c r="A3" s="4" t="s">
        <v>13</v>
      </c>
      <c r="B3" t="s">
        <v>158</v>
      </c>
    </row>
    <row r="4" spans="1:2">
      <c r="A4" t="s">
        <v>22</v>
      </c>
      <c r="B4" s="3">
        <v>512400</v>
      </c>
    </row>
    <row r="5" spans="1:2">
      <c r="A5" t="s">
        <v>31</v>
      </c>
      <c r="B5" s="3">
        <v>399100</v>
      </c>
    </row>
    <row r="6" spans="1:2">
      <c r="A6" t="s">
        <v>28</v>
      </c>
      <c r="B6" s="3">
        <v>350000</v>
      </c>
    </row>
    <row r="7" spans="1:2">
      <c r="A7" t="s">
        <v>46</v>
      </c>
      <c r="B7" s="3">
        <v>326750</v>
      </c>
    </row>
    <row r="8" spans="1:2">
      <c r="A8" t="s">
        <v>49</v>
      </c>
      <c r="B8" s="3">
        <v>266900</v>
      </c>
    </row>
    <row r="9" spans="1:2">
      <c r="A9" t="s">
        <v>159</v>
      </c>
      <c r="B9" s="3">
        <v>1855150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2026-07-06T13:01:18Z</dcterms:created>
  <dcterms:modified xsi:type="dcterms:W3CDTF">2026-07-27T04:08:08Z</dcterms:modified>
  <cp:category/>
  <cp:contentStatus/>
</cp:coreProperties>
</file>