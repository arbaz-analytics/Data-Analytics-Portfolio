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472FFADC-F1B8-49DA-A188-855B74E603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udent_Data" sheetId="1" r:id="rId1"/>
  </sheets>
  <definedNames>
    <definedName name="_xlnm._FilterDatabase" localSheetId="0" hidden="1">Student_Data!$D$7:$N$21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N3" i="1" a="1"/>
  <c r="N3" i="1"/>
  <c r="N4" i="1" a="1"/>
  <c r="N4" i="1"/>
  <c r="N5" i="1" a="1"/>
  <c r="N5" i="1"/>
  <c r="N6" i="1" a="1"/>
  <c r="N6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20" i="1" a="1"/>
  <c r="N20" i="1"/>
  <c r="N21" i="1" a="1"/>
  <c r="N21" i="1"/>
  <c r="R16" i="1"/>
  <c r="R15" i="1"/>
  <c r="R14" i="1"/>
  <c r="R13" i="1"/>
  <c r="Q16" i="1"/>
  <c r="Q15" i="1"/>
  <c r="Q14" i="1"/>
  <c r="Q13" i="1"/>
  <c r="M2" i="1"/>
  <c r="Q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Q9" i="1" s="1"/>
  <c r="L20" i="1"/>
  <c r="L21" i="1"/>
  <c r="L2" i="1"/>
  <c r="N2" i="1" a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N19" i="1" s="1" a="1"/>
  <c r="N19" i="1" s="1"/>
  <c r="M20" i="1"/>
  <c r="M21" i="1"/>
  <c r="Q20" i="1"/>
  <c r="Q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<sst xmlns="http://schemas.openxmlformats.org/spreadsheetml/2006/main" count="87" uniqueCount="68">
  <si>
    <t>Student_ID</t>
  </si>
  <si>
    <t>Student_Name</t>
  </si>
  <si>
    <t>Standard</t>
  </si>
  <si>
    <t>Physics</t>
  </si>
  <si>
    <t>Chemistry</t>
  </si>
  <si>
    <t>Biology</t>
  </si>
  <si>
    <t>Maths</t>
  </si>
  <si>
    <t>Total_Marks</t>
  </si>
  <si>
    <t>Average</t>
  </si>
  <si>
    <t>Result</t>
  </si>
  <si>
    <t>Grade</t>
  </si>
  <si>
    <t>S01</t>
  </si>
  <si>
    <t>Sayyad Arbaz</t>
  </si>
  <si>
    <t>12th</t>
  </si>
  <si>
    <t>S02</t>
  </si>
  <si>
    <t>Sayyad Fardeen</t>
  </si>
  <si>
    <t xml:space="preserve"> </t>
  </si>
  <si>
    <t>S03</t>
  </si>
  <si>
    <t>Shaikh Noman</t>
  </si>
  <si>
    <t>S04</t>
  </si>
  <si>
    <t>Shaikh Sohail</t>
  </si>
  <si>
    <t>S05</t>
  </si>
  <si>
    <t>Shaikh Arbaz</t>
  </si>
  <si>
    <t>Student_Analysis_Report_Insights</t>
  </si>
  <si>
    <t>S06</t>
  </si>
  <si>
    <t>Abdul Kareem</t>
  </si>
  <si>
    <t>S07</t>
  </si>
  <si>
    <t>Abdul Sajeed</t>
  </si>
  <si>
    <t xml:space="preserve">Total Students : </t>
  </si>
  <si>
    <t>S08</t>
  </si>
  <si>
    <t>Mohammad Aavez</t>
  </si>
  <si>
    <t xml:space="preserve">Average Class Score : </t>
  </si>
  <si>
    <t>S09</t>
  </si>
  <si>
    <t>Mohammad Parvez</t>
  </si>
  <si>
    <t>S10</t>
  </si>
  <si>
    <t>Rahul Kadam</t>
  </si>
  <si>
    <t>Subjects Insights :</t>
  </si>
  <si>
    <t>S11</t>
  </si>
  <si>
    <t>Akhshay Kumar</t>
  </si>
  <si>
    <t>Subjects</t>
  </si>
  <si>
    <t>Highest Marks</t>
  </si>
  <si>
    <t>Highest Average</t>
  </si>
  <si>
    <t>S12</t>
  </si>
  <si>
    <t>Apurva Deshmukh</t>
  </si>
  <si>
    <t>PHYSICS</t>
  </si>
  <si>
    <t>S13</t>
  </si>
  <si>
    <t>Gajanan Chintamwad</t>
  </si>
  <si>
    <t>CHEMISTRY</t>
  </si>
  <si>
    <t>S14</t>
  </si>
  <si>
    <t>Shilpa Rathod</t>
  </si>
  <si>
    <t>BIOLOGY</t>
  </si>
  <si>
    <t>S15</t>
  </si>
  <si>
    <t>Shila Bone</t>
  </si>
  <si>
    <t>MATHS</t>
  </si>
  <si>
    <t>S16</t>
  </si>
  <si>
    <t>Shila Kadam</t>
  </si>
  <si>
    <t>S17</t>
  </si>
  <si>
    <t>Chitra Patil</t>
  </si>
  <si>
    <t>Performance :</t>
  </si>
  <si>
    <t>S18</t>
  </si>
  <si>
    <t>Raj Kumar</t>
  </si>
  <si>
    <t xml:space="preserve">Total Pass Students  : </t>
  </si>
  <si>
    <t>S19</t>
  </si>
  <si>
    <t>Akshay Rathod</t>
  </si>
  <si>
    <t xml:space="preserve">Total FAIL Students  : </t>
  </si>
  <si>
    <t>S20</t>
  </si>
  <si>
    <t>Mohammad Wajahat</t>
  </si>
  <si>
    <t>Topper : Shilpa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</si>
</sst>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&quot;%&quot;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mbria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/>
    </xf>
    <xf numFmtId="0" fontId="4" fillId="4" borderId="6" xfId="0" applyFont="1" applyFill="1" applyBorder="1" applyAlignment="1"/>
    <xf numFmtId="2" fontId="4" fillId="4" borderId="0" xfId="0" applyNumberFormat="1" applyFont="1" applyFill="1" applyBorder="1" applyAlignment="1"/>
    <xf numFmtId="0" fontId="4" fillId="4" borderId="5" xfId="0" applyFont="1" applyFill="1" applyBorder="1" applyAlignment="1"/>
    <xf numFmtId="0" fontId="4" fillId="4" borderId="0" xfId="0" applyFont="1" applyFill="1" applyBorder="1" applyAlignment="1"/>
    <xf numFmtId="0" fontId="4" fillId="4" borderId="0" xfId="0" applyFont="1" applyFill="1" applyBorder="1" applyAlignment="1">
      <alignment horizontal="center"/>
    </xf>
    <xf numFmtId="2" fontId="4" fillId="4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4" fillId="4" borderId="9" xfId="0" applyFont="1" applyFill="1" applyBorder="1" applyAlignment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7" xfId="0" applyFont="1" applyFill="1" applyBorder="1" applyAlignment="1"/>
    <xf numFmtId="0" fontId="4" fillId="4" borderId="8" xfId="0" applyFont="1" applyFill="1" applyBorder="1" applyAlignment="1"/>
    <xf numFmtId="0" fontId="4" fillId="4" borderId="5" xfId="0" applyFont="1" applyFill="1" applyBorder="1" applyAlignment="1"/>
    <xf numFmtId="0" fontId="4" fillId="4" borderId="0" xfId="0" applyFont="1" applyFill="1" applyBorder="1" applyAlignment="1"/>
    <xf numFmtId="166" fontId="4" fillId="4" borderId="0" xfId="0" applyNumberFormat="1" applyFont="1" applyFill="1" applyBorder="1" applyAlignment="1"/>
  </cellXfs>
  <cellStyles count="1">
    <cellStyle name="Normal" xfId="0" builtinId="0"/>
  </cellStyles>
  <dxfs count="10">
    <dxf>
      <font>
        <b/>
        <sz val="12"/>
        <color theme="1"/>
        <name val="Cambria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sz val="12"/>
        <color theme="1"/>
        <name val="Cambria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sz val="12"/>
        <color theme="1"/>
        <name val="Cambria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/>
        <sz val="12"/>
        <color theme="1"/>
        <name val="Cambria"/>
      </font>
      <fill>
        <patternFill patternType="solid">
          <fgColor indexed="64"/>
          <bgColor theme="6" tint="0.79998168889431442"/>
        </patternFill>
      </fill>
    </dxf>
    <dxf>
      <font>
        <b/>
        <sz val="12"/>
        <color theme="1"/>
        <name val="Cambria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bgColor theme="7"/>
        </patternFill>
      </fill>
    </dxf>
    <dxf>
      <font>
        <color theme="1"/>
      </font>
      <fill>
        <patternFill patternType="solid">
          <bgColor theme="7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3D980-21F3-4675-9741-AF5505293E08}" name="Table1" displayName="Table1" ref="P12:R16" totalsRowShown="0" headerRowDxfId="5" dataDxfId="4" tableBorderDxfId="3">
  <autoFilter ref="P12:R16" xr:uid="{5703D980-21F3-4675-9741-AF5505293E08}">
    <filterColumn colId="0" hiddenButton="1"/>
    <filterColumn colId="1" hiddenButton="1"/>
    <filterColumn colId="2" hiddenButton="1"/>
  </autoFilter>
  <tableColumns count="3">
    <tableColumn id="1" xr3:uid="{FC742BF1-3559-4886-A0D5-B0BC9756368B}" name="Subjects" dataDxfId="2"/>
    <tableColumn id="2" xr3:uid="{024DDDA3-9030-410E-B636-98710103BF05}" name="Highest Marks" dataDxfId="1"/>
    <tableColumn id="3" xr3:uid="{BD9F063C-51E3-42CA-B710-448D0C0FBD75}" name="Highest Aver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A24"/>
  <sheetViews>
    <sheetView tabSelected="1" topLeftCell="C1" workbookViewId="0">
      <selection activeCell="N11" sqref="N11"/>
    </sheetView>
  </sheetViews>
  <sheetFormatPr defaultRowHeight="15"/>
  <cols>
    <col min="4" max="4" width="14.140625" customWidth="1"/>
    <col min="5" max="5" width="22.85546875" customWidth="1"/>
    <col min="6" max="6" width="11.7109375" customWidth="1"/>
    <col min="7" max="7" width="10.5703125" bestFit="1" customWidth="1"/>
    <col min="8" max="8" width="12.5703125" customWidth="1"/>
    <col min="9" max="9" width="10.5703125" bestFit="1" customWidth="1"/>
    <col min="10" max="10" width="11.7109375" bestFit="1" customWidth="1"/>
    <col min="11" max="11" width="16.42578125" customWidth="1"/>
    <col min="12" max="12" width="11.85546875" customWidth="1"/>
    <col min="13" max="13" width="15" customWidth="1"/>
    <col min="14" max="14" width="11.5703125" customWidth="1"/>
    <col min="16" max="16" width="23.85546875" customWidth="1"/>
    <col min="17" max="17" width="16.140625" customWidth="1"/>
    <col min="18" max="18" width="16.28515625" customWidth="1"/>
    <col min="19" max="19" width="9.42578125" customWidth="1"/>
    <col min="20" max="20" width="8.7109375" customWidth="1"/>
    <col min="21" max="21" width="17.28515625" customWidth="1"/>
    <col min="22" max="23" width="18" customWidth="1"/>
    <col min="24" max="24" width="16.7109375" customWidth="1"/>
    <col min="27" max="27" width="14.85546875" customWidth="1"/>
    <col min="28" max="28" width="15.5703125" bestFit="1" customWidth="1"/>
    <col min="29" max="29" width="17.28515625" bestFit="1" customWidth="1"/>
  </cols>
  <sheetData>
    <row r="1" spans="4:26" ht="20.25" customHeight="1">
      <c r="D1" s="7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</row>
    <row r="2" spans="4:26" ht="16.5">
      <c r="D2" s="3" t="s">
        <v>11</v>
      </c>
      <c r="E2" s="4" t="s">
        <v>12</v>
      </c>
      <c r="F2" s="4" t="s">
        <v>13</v>
      </c>
      <c r="G2" s="4">
        <v>61</v>
      </c>
      <c r="H2" s="4">
        <v>49</v>
      </c>
      <c r="I2" s="4">
        <v>45</v>
      </c>
      <c r="J2" s="4">
        <v>76</v>
      </c>
      <c r="K2" s="4">
        <f>SUM(G2:J2)</f>
        <v>231</v>
      </c>
      <c r="L2" s="4">
        <f>AVERAGE(G2:J2)</f>
        <v>57.75</v>
      </c>
      <c r="M2" s="6" t="str">
        <f>IF(MIN(G2:J2)&lt;30,"FAIL","PASS")</f>
        <v>PASS</v>
      </c>
      <c r="N2" s="5" t="str" cm="1">
        <f t="array" ref="N2">IF(M2="FAIL","FAIL",_xlfn.IFS(L2&gt;=90,"O",L2&gt;=80,"A+",L2&gt;=70,"A",L2&gt;=60,"B",L2&gt;=50,"C",L2&gt;=30,"D"))</f>
        <v>C</v>
      </c>
    </row>
    <row r="3" spans="4:26" ht="16.5">
      <c r="D3" s="3" t="s">
        <v>14</v>
      </c>
      <c r="E3" s="4" t="s">
        <v>15</v>
      </c>
      <c r="F3" s="4" t="s">
        <v>13</v>
      </c>
      <c r="G3" s="4">
        <v>79</v>
      </c>
      <c r="H3" s="4">
        <v>71</v>
      </c>
      <c r="I3" s="4">
        <v>90</v>
      </c>
      <c r="J3" s="4">
        <v>84</v>
      </c>
      <c r="K3" s="4">
        <f t="shared" ref="K3:K21" si="0">SUM(G3:J3)</f>
        <v>324</v>
      </c>
      <c r="L3" s="4">
        <f t="shared" ref="L3:L20" si="1">AVERAGE(G3:J3)</f>
        <v>81</v>
      </c>
      <c r="M3" s="6" t="str">
        <f t="shared" ref="M3:M21" si="2">IF(MIN(G3:J3)&lt;30,"FAIL","PASS")</f>
        <v>PASS</v>
      </c>
      <c r="N3" s="5" t="str" cm="1">
        <f t="array" ref="N3">IF(M3="FAIL","FAIL",_xlfn.IFS(L3&gt;=90,"O",L3&gt;=80,"A+",L3&gt;=70,"A",L3&gt;=60,"B",L3&gt;=50,"C",L3&gt;=30,"D"))</f>
        <v>A+</v>
      </c>
      <c r="T3" t="s">
        <v>16</v>
      </c>
    </row>
    <row r="4" spans="4:26" ht="16.5">
      <c r="D4" s="3" t="s">
        <v>17</v>
      </c>
      <c r="E4" s="4" t="s">
        <v>18</v>
      </c>
      <c r="F4" s="4" t="s">
        <v>13</v>
      </c>
      <c r="G4" s="4">
        <v>64</v>
      </c>
      <c r="H4" s="4">
        <v>67</v>
      </c>
      <c r="I4" s="4">
        <v>90</v>
      </c>
      <c r="J4" s="4">
        <v>91</v>
      </c>
      <c r="K4" s="4">
        <f t="shared" si="0"/>
        <v>312</v>
      </c>
      <c r="L4" s="4">
        <f t="shared" si="1"/>
        <v>78</v>
      </c>
      <c r="M4" s="6" t="str">
        <f t="shared" si="2"/>
        <v>PASS</v>
      </c>
      <c r="N4" s="5" t="str" cm="1">
        <f t="array" ref="N4">IF(M4="FAIL","FAIL",_xlfn.IFS(L4&gt;=90,"O",L4&gt;=80,"A+",L4&gt;=70,"A",L4&gt;=60,"B",L4&gt;=50,"C",L4&gt;=30,"D"))</f>
        <v>A</v>
      </c>
    </row>
    <row r="5" spans="4:26" ht="16.5">
      <c r="D5" s="3" t="s">
        <v>19</v>
      </c>
      <c r="E5" s="4" t="s">
        <v>20</v>
      </c>
      <c r="F5" s="4" t="s">
        <v>13</v>
      </c>
      <c r="G5" s="4">
        <v>79</v>
      </c>
      <c r="H5" s="4">
        <v>51</v>
      </c>
      <c r="I5" s="4">
        <v>42</v>
      </c>
      <c r="J5" s="4">
        <v>93</v>
      </c>
      <c r="K5" s="4">
        <f t="shared" si="0"/>
        <v>265</v>
      </c>
      <c r="L5" s="4">
        <f t="shared" si="1"/>
        <v>66.25</v>
      </c>
      <c r="M5" s="6" t="str">
        <f t="shared" si="2"/>
        <v>PASS</v>
      </c>
      <c r="N5" s="5" t="str" cm="1">
        <f t="array" ref="N5">IF(M5="FAIL","FAIL",_xlfn.IFS(L5&gt;=90,"O",L5&gt;=80,"A+",L5&gt;=70,"A",L5&gt;=60,"B",L5&gt;=50,"C",L5&gt;=30,"D"))</f>
        <v>B</v>
      </c>
    </row>
    <row r="6" spans="4:26" ht="16.5">
      <c r="D6" s="3" t="s">
        <v>21</v>
      </c>
      <c r="E6" s="4" t="s">
        <v>22</v>
      </c>
      <c r="F6" s="4" t="s">
        <v>13</v>
      </c>
      <c r="G6" s="4">
        <v>67</v>
      </c>
      <c r="H6" s="4">
        <v>78</v>
      </c>
      <c r="I6" s="4">
        <v>84</v>
      </c>
      <c r="J6" s="4">
        <v>72</v>
      </c>
      <c r="K6" s="4">
        <f t="shared" si="0"/>
        <v>301</v>
      </c>
      <c r="L6" s="4">
        <f t="shared" si="1"/>
        <v>75.25</v>
      </c>
      <c r="M6" s="6" t="str">
        <f t="shared" si="2"/>
        <v>PASS</v>
      </c>
      <c r="N6" s="5" t="str" cm="1">
        <f t="array" ref="N6">IF(M6="FAIL","FAIL",_xlfn.IFS(L6&gt;=90,"O",L6&gt;=80,"A+",L6&gt;=70,"A",L6&gt;=60,"B",L6&gt;=50,"C",L6&gt;=30,"D"))</f>
        <v>A</v>
      </c>
      <c r="P6" s="18" t="s">
        <v>23</v>
      </c>
      <c r="Q6" s="19"/>
      <c r="R6" s="20"/>
    </row>
    <row r="7" spans="4:26" ht="16.5">
      <c r="D7" s="4" t="s">
        <v>24</v>
      </c>
      <c r="E7" s="4" t="s">
        <v>25</v>
      </c>
      <c r="F7" s="4" t="s">
        <v>13</v>
      </c>
      <c r="G7" s="4">
        <v>56</v>
      </c>
      <c r="H7" s="4">
        <v>54</v>
      </c>
      <c r="I7" s="4">
        <v>52</v>
      </c>
      <c r="J7" s="4">
        <v>75</v>
      </c>
      <c r="K7" s="4">
        <f t="shared" si="0"/>
        <v>237</v>
      </c>
      <c r="L7" s="4">
        <f t="shared" si="1"/>
        <v>59.25</v>
      </c>
      <c r="M7" s="6" t="str">
        <f t="shared" si="2"/>
        <v>PASS</v>
      </c>
      <c r="N7" s="5" t="str" cm="1">
        <f t="array" ref="N7">IF(M7="FAIL","FAIL",_xlfn.IFS(L7&gt;=90,"O",L7&gt;=80,"A+",L7&gt;=70,"A",L7&gt;=60,"B",L7&gt;=50,"C",L7&gt;=30,"D"))</f>
        <v>C</v>
      </c>
      <c r="P7" s="11"/>
      <c r="Q7" s="12"/>
      <c r="R7" s="9"/>
    </row>
    <row r="8" spans="4:26" ht="16.5">
      <c r="D8" s="4" t="s">
        <v>26</v>
      </c>
      <c r="E8" s="4" t="s">
        <v>27</v>
      </c>
      <c r="F8" s="4" t="s">
        <v>13</v>
      </c>
      <c r="G8" s="4">
        <v>93</v>
      </c>
      <c r="H8" s="4">
        <v>92</v>
      </c>
      <c r="I8" s="4">
        <v>98</v>
      </c>
      <c r="J8" s="4">
        <v>85</v>
      </c>
      <c r="K8" s="4">
        <f t="shared" si="0"/>
        <v>368</v>
      </c>
      <c r="L8" s="4">
        <f t="shared" si="1"/>
        <v>92</v>
      </c>
      <c r="M8" s="6" t="str">
        <f t="shared" si="2"/>
        <v>PASS</v>
      </c>
      <c r="N8" s="5" t="str" cm="1">
        <f t="array" ref="N8">IF(M8="FAIL","FAIL",_xlfn.IFS(L8&gt;=90,"O",L8&gt;=80,"A+",L8&gt;=70,"A",L8&gt;=60,"B",L8&gt;=50,"C",L8&gt;=30,"D"))</f>
        <v>O</v>
      </c>
      <c r="P8" s="11" t="s">
        <v>28</v>
      </c>
      <c r="Q8" s="12">
        <f>COUNTA(D2:D21)</f>
        <v>20</v>
      </c>
      <c r="R8" s="9"/>
      <c r="Z8" s="1"/>
    </row>
    <row r="9" spans="4:26" ht="16.5">
      <c r="D9" s="4" t="s">
        <v>29</v>
      </c>
      <c r="E9" s="4" t="s">
        <v>30</v>
      </c>
      <c r="F9" s="4" t="s">
        <v>13</v>
      </c>
      <c r="G9" s="4">
        <v>74</v>
      </c>
      <c r="H9" s="4">
        <v>56</v>
      </c>
      <c r="I9" s="4">
        <v>47</v>
      </c>
      <c r="J9" s="4">
        <v>75</v>
      </c>
      <c r="K9" s="4">
        <f t="shared" si="0"/>
        <v>252</v>
      </c>
      <c r="L9" s="4">
        <f t="shared" si="1"/>
        <v>63</v>
      </c>
      <c r="M9" s="6" t="str">
        <f t="shared" si="2"/>
        <v>PASS</v>
      </c>
      <c r="N9" s="5" t="str" cm="1">
        <f t="array" ref="N9">IF(M9="FAIL","FAIL",_xlfn.IFS(L9&gt;=90,"O",L9&gt;=80,"A+",L9&gt;=70,"A",L9&gt;=60,"B",L9&gt;=50,"C",L9&gt;=30,"D"))</f>
        <v>B</v>
      </c>
      <c r="P9" s="11" t="s">
        <v>31</v>
      </c>
      <c r="Q9" s="25">
        <f>AVERAGE(L2:L21)</f>
        <v>60.1</v>
      </c>
      <c r="R9" s="9"/>
    </row>
    <row r="10" spans="4:26" ht="16.5">
      <c r="D10" s="4" t="s">
        <v>32</v>
      </c>
      <c r="E10" s="4" t="s">
        <v>33</v>
      </c>
      <c r="F10" s="4" t="s">
        <v>13</v>
      </c>
      <c r="G10" s="4">
        <v>88</v>
      </c>
      <c r="H10" s="4">
        <v>20</v>
      </c>
      <c r="I10" s="4">
        <v>28</v>
      </c>
      <c r="J10" s="4">
        <v>74</v>
      </c>
      <c r="K10" s="4">
        <f t="shared" si="0"/>
        <v>210</v>
      </c>
      <c r="L10" s="4">
        <f t="shared" si="1"/>
        <v>52.5</v>
      </c>
      <c r="M10" s="6" t="str">
        <f t="shared" si="2"/>
        <v>FAIL</v>
      </c>
      <c r="N10" s="5" t="str" cm="1">
        <f t="array" ref="N10">IF(M10="FAIL","FAIL",_xlfn.IFS(L10&gt;=90,"O",L10&gt;=80,"A+",L10&gt;=70,"A",L10&gt;=60,"B",L10&gt;=50,"C",L10&gt;=30,"D"))</f>
        <v>FAIL</v>
      </c>
      <c r="P10" s="11"/>
      <c r="Q10" s="10"/>
      <c r="R10" s="9"/>
    </row>
    <row r="11" spans="4:26" ht="16.5">
      <c r="D11" s="4" t="s">
        <v>34</v>
      </c>
      <c r="E11" s="4" t="s">
        <v>35</v>
      </c>
      <c r="F11" s="4" t="s">
        <v>13</v>
      </c>
      <c r="G11" s="4">
        <v>20</v>
      </c>
      <c r="H11" s="4">
        <v>80</v>
      </c>
      <c r="I11" s="4">
        <v>45</v>
      </c>
      <c r="J11" s="4">
        <v>14</v>
      </c>
      <c r="K11" s="4">
        <f t="shared" si="0"/>
        <v>159</v>
      </c>
      <c r="L11" s="4">
        <f t="shared" si="1"/>
        <v>39.75</v>
      </c>
      <c r="M11" s="6" t="str">
        <f t="shared" si="2"/>
        <v>FAIL</v>
      </c>
      <c r="N11" s="5" t="str" cm="1">
        <f t="array" ref="N11">IF(M11="FAIL","FAIL",_xlfn.IFS(L11&gt;=90,"O",L11&gt;=80,"A+",L11&gt;=70,"A",L11&gt;=60,"B",L11&gt;=50,"C",L11&gt;=30,"D"))</f>
        <v>FAIL</v>
      </c>
      <c r="P11" s="23" t="s">
        <v>36</v>
      </c>
      <c r="Q11" s="24"/>
      <c r="R11" s="9"/>
    </row>
    <row r="12" spans="4:26" ht="16.5">
      <c r="D12" s="4" t="s">
        <v>37</v>
      </c>
      <c r="E12" s="4" t="s">
        <v>38</v>
      </c>
      <c r="F12" s="4" t="s">
        <v>13</v>
      </c>
      <c r="G12" s="4">
        <v>28</v>
      </c>
      <c r="H12" s="4">
        <v>25</v>
      </c>
      <c r="I12" s="4">
        <v>10</v>
      </c>
      <c r="J12" s="4">
        <v>40</v>
      </c>
      <c r="K12" s="4">
        <f t="shared" si="0"/>
        <v>103</v>
      </c>
      <c r="L12" s="4">
        <f t="shared" si="1"/>
        <v>25.75</v>
      </c>
      <c r="M12" s="6" t="str">
        <f t="shared" si="2"/>
        <v>FAIL</v>
      </c>
      <c r="N12" s="5" t="str" cm="1">
        <f t="array" ref="N12">IF(M12="FAIL","FAIL",_xlfn.IFS(L12&gt;=90,"O",L12&gt;=80,"A+",L12&gt;=70,"A",L12&gt;=60,"B",L12&gt;=50,"C",L12&gt;=30,"D"))</f>
        <v>FAIL</v>
      </c>
      <c r="P12" s="13" t="s">
        <v>39</v>
      </c>
      <c r="Q12" s="13" t="s">
        <v>40</v>
      </c>
      <c r="R12" s="13" t="s">
        <v>41</v>
      </c>
    </row>
    <row r="13" spans="4:26" ht="16.5">
      <c r="D13" s="4" t="s">
        <v>42</v>
      </c>
      <c r="E13" s="4" t="s">
        <v>43</v>
      </c>
      <c r="F13" s="4" t="s">
        <v>13</v>
      </c>
      <c r="G13" s="4">
        <v>29</v>
      </c>
      <c r="H13" s="4">
        <v>45</v>
      </c>
      <c r="I13" s="4">
        <v>27</v>
      </c>
      <c r="J13" s="4">
        <v>42</v>
      </c>
      <c r="K13" s="4">
        <f t="shared" si="0"/>
        <v>143</v>
      </c>
      <c r="L13" s="4">
        <f t="shared" si="1"/>
        <v>35.75</v>
      </c>
      <c r="M13" s="6" t="str">
        <f t="shared" si="2"/>
        <v>FAIL</v>
      </c>
      <c r="N13" s="5" t="str" cm="1">
        <f t="array" ref="N13">IF(M13="FAIL","FAIL",_xlfn.IFS(L13&gt;=90,"O",L13&gt;=80,"A+",L13&gt;=70,"A",L13&gt;=60,"B",L13&gt;=50,"C",L13&gt;=30,"D"))</f>
        <v>FAIL</v>
      </c>
      <c r="P13" s="13" t="s">
        <v>44</v>
      </c>
      <c r="Q13" s="14">
        <f>MAX(G2:G21)</f>
        <v>99</v>
      </c>
      <c r="R13" s="14">
        <f>AVERAGE(G2:G21)</f>
        <v>61.6</v>
      </c>
    </row>
    <row r="14" spans="4:26" ht="16.5">
      <c r="D14" s="4" t="s">
        <v>45</v>
      </c>
      <c r="E14" s="4" t="s">
        <v>46</v>
      </c>
      <c r="F14" s="4" t="s">
        <v>13</v>
      </c>
      <c r="G14" s="4">
        <v>53</v>
      </c>
      <c r="H14" s="4">
        <v>42</v>
      </c>
      <c r="I14" s="4">
        <v>65</v>
      </c>
      <c r="J14" s="4">
        <v>42</v>
      </c>
      <c r="K14" s="4">
        <f t="shared" si="0"/>
        <v>202</v>
      </c>
      <c r="L14" s="4">
        <f t="shared" si="1"/>
        <v>50.5</v>
      </c>
      <c r="M14" s="6" t="str">
        <f t="shared" si="2"/>
        <v>PASS</v>
      </c>
      <c r="N14" s="5" t="str" cm="1">
        <f t="array" ref="N14">IF(M14="FAIL","FAIL",_xlfn.IFS(L14&gt;=90,"O",L14&gt;=80,"A+",L14&gt;=70,"A",L14&gt;=60,"B",L14&gt;=50,"C",L14&gt;=30,"D"))</f>
        <v>C</v>
      </c>
      <c r="P14" s="13" t="s">
        <v>47</v>
      </c>
      <c r="Q14" s="14">
        <f>MAX(H2:H21)</f>
        <v>97</v>
      </c>
      <c r="R14" s="14">
        <f>AVERAGE(H2:H21)</f>
        <v>54.35</v>
      </c>
    </row>
    <row r="15" spans="4:26" ht="16.5">
      <c r="D15" s="4" t="s">
        <v>48</v>
      </c>
      <c r="E15" s="4" t="s">
        <v>49</v>
      </c>
      <c r="F15" s="4" t="s">
        <v>13</v>
      </c>
      <c r="G15" s="4">
        <v>99</v>
      </c>
      <c r="H15" s="4">
        <v>97</v>
      </c>
      <c r="I15" s="4">
        <v>99</v>
      </c>
      <c r="J15" s="4">
        <v>98</v>
      </c>
      <c r="K15" s="4">
        <f t="shared" si="0"/>
        <v>393</v>
      </c>
      <c r="L15" s="4">
        <f t="shared" si="1"/>
        <v>98.25</v>
      </c>
      <c r="M15" s="6" t="str">
        <f t="shared" si="2"/>
        <v>PASS</v>
      </c>
      <c r="N15" s="5" t="str" cm="1">
        <f t="array" ref="N15">IF(M15="FAIL","FAIL",_xlfn.IFS(L15&gt;=90,"O",L15&gt;=80,"A+",L15&gt;=70,"A",L15&gt;=60,"B",L15&gt;=50,"C",L15&gt;=30,"D"))</f>
        <v>O</v>
      </c>
      <c r="P15" s="13" t="s">
        <v>50</v>
      </c>
      <c r="Q15" s="14">
        <f>MAX(I2:I21)</f>
        <v>99</v>
      </c>
      <c r="R15" s="14">
        <f>AVERAGE(I2:I21)</f>
        <v>59.45</v>
      </c>
    </row>
    <row r="16" spans="4:26" ht="16.5">
      <c r="D16" s="4" t="s">
        <v>51</v>
      </c>
      <c r="E16" s="4" t="s">
        <v>52</v>
      </c>
      <c r="F16" s="4" t="s">
        <v>13</v>
      </c>
      <c r="G16" s="4">
        <v>68</v>
      </c>
      <c r="H16" s="4">
        <v>69</v>
      </c>
      <c r="I16" s="4">
        <v>25</v>
      </c>
      <c r="J16" s="4">
        <v>41</v>
      </c>
      <c r="K16" s="4">
        <f t="shared" si="0"/>
        <v>203</v>
      </c>
      <c r="L16" s="4">
        <f t="shared" si="1"/>
        <v>50.75</v>
      </c>
      <c r="M16" s="6" t="str">
        <f t="shared" si="2"/>
        <v>FAIL</v>
      </c>
      <c r="N16" s="5" t="str" cm="1">
        <f t="array" ref="N16">IF(M16="FAIL","FAIL",_xlfn.IFS(L16&gt;=90,"O",L16&gt;=80,"A+",L16&gt;=70,"A",L16&gt;=60,"B",L16&gt;=50,"C",L16&gt;=30,"D"))</f>
        <v>FAIL</v>
      </c>
      <c r="P16" s="13" t="s">
        <v>53</v>
      </c>
      <c r="Q16" s="14">
        <f>MAX(J2:J21)</f>
        <v>98</v>
      </c>
      <c r="R16" s="14">
        <f>AVERAGE(J2:J21)</f>
        <v>65</v>
      </c>
    </row>
    <row r="17" spans="4:27" ht="16.5">
      <c r="D17" s="4" t="s">
        <v>54</v>
      </c>
      <c r="E17" s="4" t="s">
        <v>55</v>
      </c>
      <c r="F17" s="4" t="s">
        <v>13</v>
      </c>
      <c r="G17" s="4">
        <v>52</v>
      </c>
      <c r="H17" s="4">
        <v>46</v>
      </c>
      <c r="I17" s="4">
        <v>77</v>
      </c>
      <c r="J17" s="4">
        <v>65</v>
      </c>
      <c r="K17" s="4">
        <f t="shared" si="0"/>
        <v>240</v>
      </c>
      <c r="L17" s="4">
        <f t="shared" si="1"/>
        <v>60</v>
      </c>
      <c r="M17" s="6" t="str">
        <f t="shared" si="2"/>
        <v>PASS</v>
      </c>
      <c r="N17" s="5" t="str" cm="1">
        <f t="array" ref="N17">IF(M17="FAIL","FAIL",_xlfn.IFS(L17&gt;=90,"O",L17&gt;=80,"A+",L17&gt;=70,"A",L17&gt;=60,"B",L17&gt;=50,"C",L17&gt;=30,"D"))</f>
        <v>B</v>
      </c>
      <c r="P17" s="11"/>
      <c r="Q17" s="12"/>
      <c r="R17" s="9"/>
    </row>
    <row r="18" spans="4:27" ht="16.5">
      <c r="D18" s="4" t="s">
        <v>56</v>
      </c>
      <c r="E18" s="4" t="s">
        <v>57</v>
      </c>
      <c r="F18" s="4" t="s">
        <v>13</v>
      </c>
      <c r="G18" s="4">
        <v>58</v>
      </c>
      <c r="H18" s="4">
        <v>18</v>
      </c>
      <c r="I18" s="4">
        <v>49</v>
      </c>
      <c r="J18" s="4">
        <v>83</v>
      </c>
      <c r="K18" s="4">
        <f t="shared" si="0"/>
        <v>208</v>
      </c>
      <c r="L18" s="4">
        <f t="shared" si="1"/>
        <v>52</v>
      </c>
      <c r="M18" s="6" t="str">
        <f t="shared" si="2"/>
        <v>FAIL</v>
      </c>
      <c r="N18" s="5" t="str" cm="1">
        <f t="array" ref="N18">IF(M18="FAIL","FAIL",_xlfn.IFS(L18&gt;=90,"O",L18&gt;=80,"A+",L18&gt;=70,"A",L18&gt;=60,"B",L18&gt;=50,"C",L18&gt;=30,"D"))</f>
        <v>FAIL</v>
      </c>
      <c r="P18" s="11" t="s">
        <v>58</v>
      </c>
      <c r="Q18" s="12"/>
      <c r="R18" s="9"/>
    </row>
    <row r="19" spans="4:27" ht="15" customHeight="1">
      <c r="D19" s="4" t="s">
        <v>59</v>
      </c>
      <c r="E19" s="4" t="s">
        <v>60</v>
      </c>
      <c r="F19" s="4" t="s">
        <v>13</v>
      </c>
      <c r="G19" s="4">
        <v>98</v>
      </c>
      <c r="H19" s="4">
        <v>58</v>
      </c>
      <c r="I19" s="4">
        <v>56</v>
      </c>
      <c r="J19" s="4">
        <v>40</v>
      </c>
      <c r="K19" s="4">
        <f t="shared" si="0"/>
        <v>252</v>
      </c>
      <c r="L19" s="4">
        <f t="shared" si="1"/>
        <v>63</v>
      </c>
      <c r="M19" s="6" t="str">
        <f t="shared" si="2"/>
        <v>PASS</v>
      </c>
      <c r="N19" s="5" t="str" cm="1">
        <f t="array" ref="N19">IF(M19="FAIL","FAIL",_xlfn.IFS(L19&gt;=90,"O",L19&gt;=80,"A+",L19&gt;=70,"A",L19&gt;=60,"B",L19&gt;=50,"C",L19&gt;=30,"D"))</f>
        <v>B</v>
      </c>
      <c r="P19" s="15" t="s">
        <v>61</v>
      </c>
      <c r="Q19" s="16">
        <f>COUNTIF(M2:M21,"PASS")</f>
        <v>13</v>
      </c>
      <c r="R19" s="9"/>
    </row>
    <row r="20" spans="4:27" ht="15" customHeight="1">
      <c r="D20" s="4" t="s">
        <v>62</v>
      </c>
      <c r="E20" s="4" t="s">
        <v>63</v>
      </c>
      <c r="F20" s="4" t="s">
        <v>13</v>
      </c>
      <c r="G20" s="4">
        <v>49</v>
      </c>
      <c r="H20" s="4">
        <v>50</v>
      </c>
      <c r="I20" s="4">
        <v>88</v>
      </c>
      <c r="J20" s="4">
        <v>88</v>
      </c>
      <c r="K20" s="4">
        <f t="shared" si="0"/>
        <v>275</v>
      </c>
      <c r="L20" s="4">
        <f t="shared" si="1"/>
        <v>68.75</v>
      </c>
      <c r="M20" s="6" t="str">
        <f t="shared" si="2"/>
        <v>PASS</v>
      </c>
      <c r="N20" s="5" t="str" cm="1">
        <f t="array" ref="N20">IF(M20="FAIL","FAIL",_xlfn.IFS(L20&gt;=90,"O",L20&gt;=80,"A+",L20&gt;=70,"A",L20&gt;=60,"B",L20&gt;=50,"C",L20&gt;=30,"D"))</f>
        <v>B</v>
      </c>
      <c r="P20" s="15" t="s">
        <v>64</v>
      </c>
      <c r="Q20" s="16">
        <f>COUNTIF(M2:M21,"FAIL")</f>
        <v>7</v>
      </c>
      <c r="R20" s="9"/>
    </row>
    <row r="21" spans="4:27" ht="13.5" customHeight="1">
      <c r="D21" s="4" t="s">
        <v>65</v>
      </c>
      <c r="E21" s="4" t="s">
        <v>66</v>
      </c>
      <c r="F21" s="4" t="s">
        <v>13</v>
      </c>
      <c r="G21" s="4">
        <v>17</v>
      </c>
      <c r="H21" s="4">
        <v>19</v>
      </c>
      <c r="I21" s="4">
        <v>72</v>
      </c>
      <c r="J21" s="4">
        <v>22</v>
      </c>
      <c r="K21" s="4">
        <f t="shared" si="0"/>
        <v>130</v>
      </c>
      <c r="L21" s="4">
        <f t="shared" ref="L3:L21" si="3">AVERAGE(G21:J21)</f>
        <v>32.5</v>
      </c>
      <c r="M21" s="6" t="str">
        <f t="shared" si="2"/>
        <v>FAIL</v>
      </c>
      <c r="N21" s="5" t="str" cm="1">
        <f t="array" ref="N21">IF(M21="FAIL","FAIL",_xlfn.IFS(L21&gt;=90,"O",L21&gt;=80,"A+",L21&gt;=70,"A",L21&gt;=60,"B",L21&gt;=50,"C",L21&gt;=30,"D"))</f>
        <v>FAIL</v>
      </c>
      <c r="P21" s="21" t="s">
        <v>67</v>
      </c>
      <c r="Q21" s="22"/>
      <c r="R21" s="17"/>
    </row>
    <row r="22" spans="4:27" ht="15.75" customHeight="1"/>
    <row r="24" spans="4:27">
      <c r="AA24" s="2"/>
    </row>
  </sheetData>
  <mergeCells count="3">
    <mergeCell ref="P6:R6"/>
    <mergeCell ref="P21:Q21"/>
    <mergeCell ref="P11:Q11"/>
  </mergeCells>
  <conditionalFormatting sqref="D2:N21">
    <cfRule type="expression" dxfId="9" priority="13">
      <formula>$M2="PASS"</formula>
    </cfRule>
  </conditionalFormatting>
  <conditionalFormatting sqref="D2:N21">
    <cfRule type="expression" dxfId="8" priority="12">
      <formula>$M2="FAIL"</formula>
    </cfRule>
  </conditionalFormatting>
  <conditionalFormatting sqref="P13:R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{EBA82078-70B4-47D4-A0F6-8AB10DB00B54}</x14:id>
        </ext>
      </extLst>
    </cfRule>
  </conditionalFormatting>
  <conditionalFormatting sqref="P21:Q21">
    <cfRule type="containsText" dxfId="7" priority="3" operator="containsText" text="Topper">
      <formula>NOT(ISERROR(SEARCH("Topper",P21)))</formula>
    </cfRule>
  </conditionalFormatting>
  <conditionalFormatting sqref="Q13:R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{2D592F3F-CF80-4CC4-95D1-AF7D374C0B8D}</x14:id>
        </ext>
      </extLst>
    </cfRule>
  </conditionalFormatting>
  <conditionalFormatting sqref="D2:N21">
    <cfRule type="expression" dxfId="6" priority="1">
      <formula>$L2 &gt;= LARGE($L$2:$L$21,3)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A82078-70B4-47D4-A0F6-8AB10DB00B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P13:R16</xm:sqref>
        </x14:conditionalFormatting>
        <x14:conditionalFormatting xmlns:xm="http://schemas.microsoft.com/office/excel/2006/main">
          <x14:cfRule type="dataBar" id="{2D592F3F-CF80-4CC4-95D1-AF7D374C0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Q13:R16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2026-04-28T10:04:07Z</dcterms:created>
  <dcterms:modified xsi:type="dcterms:W3CDTF">2026-07-19T10:46:03Z</dcterms:modified>
  <cp:category/>
  <cp:contentStatus/>
</cp:coreProperties>
</file>